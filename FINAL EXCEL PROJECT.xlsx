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D:\Hospital Emergency Room Dashboard Project\"/>
    </mc:Choice>
  </mc:AlternateContent>
  <xr:revisionPtr revIDLastSave="0" documentId="8_{59107552-4E0F-484C-8EAB-067194489DA1}" xr6:coauthVersionLast="47" xr6:coauthVersionMax="47" xr10:uidLastSave="{00000000-0000-0000-0000-000000000000}"/>
  <bookViews>
    <workbookView xWindow="-108" yWindow="-108" windowWidth="23256" windowHeight="12456" activeTab="1" xr2:uid="{D8942FB7-BA6C-4C89-AC2D-FEF45326DEF2}"/>
  </bookViews>
  <sheets>
    <sheet name="PIVOT REPORT ANALYSIS" sheetId="1" r:id="rId1"/>
    <sheet name="DASHBOARD" sheetId="2" r:id="rId2"/>
  </sheets>
  <definedNames>
    <definedName name="Slicer_Date__Month">#N/A</definedName>
    <definedName name="Slicer_Date__Year">#N/A</definedName>
  </definedNames>
  <calcPr calcId="191029"/>
  <pivotCaches>
    <pivotCache cacheId="2102" r:id="rId3"/>
    <pivotCache cacheId="2105" r:id="rId4"/>
    <pivotCache cacheId="2108" r:id="rId5"/>
    <pivotCache cacheId="2111" r:id="rId6"/>
    <pivotCache cacheId="2114" r:id="rId7"/>
    <pivotCache cacheId="2117" r:id="rId8"/>
    <pivotCache cacheId="2120" r:id="rId9"/>
    <pivotCache cacheId="2123" r:id="rId10"/>
    <pivotCache cacheId="2126" r:id="rId11"/>
    <pivotCache cacheId="2129" r:id="rId12"/>
    <pivotCache cacheId="2132" r:id="rId13"/>
    <pivotCache cacheId="2135" r:id="rId14"/>
  </pivotCaches>
  <extLst>
    <ext xmlns:x14="http://schemas.microsoft.com/office/spreadsheetml/2009/9/main" uri="{876F7934-8845-4945-9796-88D515C7AA90}">
      <x14:pivotCaches>
        <pivotCache cacheId="1414"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bd111d1-43d6-45db-9871-7cc852dc6ce9" name="Hospital Emergency Room Data" connection="Query - Hospital Emergency Room Data"/>
          <x15:modelTable id="Calendar_Table_0fdc892e-ad80-4c7b-95fb-a2a4b2eade4f"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7" i="1" l="1"/>
  <c r="B47" i="1"/>
  <c r="C47" i="1"/>
  <c r="B48" i="1"/>
  <c r="C48"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53367A-13F2-4CC3-BC1D-A8BD10AE0622}" name="Query - Calendar_Table" description="Connection to the 'Calendar_Table' query in the workbook." type="100" refreshedVersion="8" minRefreshableVersion="5">
    <extLst>
      <ext xmlns:x15="http://schemas.microsoft.com/office/spreadsheetml/2010/11/main" uri="{DE250136-89BD-433C-8126-D09CA5730AF9}">
        <x15:connection id="189912f8-b1d8-43b3-9ddf-dca2ffb38956"/>
      </ext>
    </extLst>
  </connection>
  <connection id="2" xr16:uid="{11C3A533-13E5-4C8D-AD24-5C0B3E8ED289}"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c89253a-ad17-447d-93ac-f0704aa24e34"/>
      </ext>
    </extLst>
  </connection>
  <connection id="3" xr16:uid="{978B9534-D12D-44FE-AAE0-BAA3BECB9F5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<sst xmlns="http://schemas.openxmlformats.org/spreadsheetml/2006/main" count="149" uniqueCount="73">
  <si>
    <t>Distinct Count of Patient Id</t>
  </si>
  <si>
    <t>No. Of Patients</t>
  </si>
  <si>
    <t>Average of Patient Waittime</t>
  </si>
  <si>
    <t>Average of Patient Satisfaction Score</t>
  </si>
  <si>
    <t>Row Labels</t>
  </si>
  <si>
    <t>Grand Total</t>
  </si>
  <si>
    <t>2024</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</si>
  <si>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</si>
  <si>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</si>
  <si>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</si>
  <si>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</si>
  <si>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</si>
  <si>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</si>
  <si>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</si>
  <si>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</si>
  <si>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</si>
  <si>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</si>
  <si>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</si>
  <si>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</si>
  <si>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</si>
  <si>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</si>
  <si>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</si>
  <si>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</si>
  <si>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</si>
  <si>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</si>
  <si>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</si>
  <si>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</si>
  <si>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</si>
  <si>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</si>
  <si>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</si>
  <si>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</si>
  <si>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</si>
  <si>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</si>
  <si>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</si>
  <si>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</si>
  <si>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</si>
  <si>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DAILY TRENDS OF NO. OF PATIENTS</t>
  </si>
  <si>
    <t>AVERAGE WAIT TIME</t>
  </si>
  <si>
    <t>Average Satisfaction score</t>
  </si>
  <si>
    <t>Count of Patient Admission Flag</t>
  </si>
  <si>
    <t>Admitted</t>
  </si>
  <si>
    <t>Not Admitted</t>
  </si>
  <si>
    <t>% Status</t>
  </si>
  <si>
    <t>Count of Patient Admission Flag2</t>
  </si>
  <si>
    <t>Admission Status</t>
  </si>
  <si>
    <t>Number Of Patient</t>
  </si>
  <si>
    <t>0-09</t>
  </si>
  <si>
    <t>10-19</t>
  </si>
  <si>
    <t>20-29</t>
  </si>
  <si>
    <t>30-39</t>
  </si>
  <si>
    <t>40-49</t>
  </si>
  <si>
    <t>50-59</t>
  </si>
  <si>
    <t>60-69</t>
  </si>
  <si>
    <t>70-79</t>
  </si>
  <si>
    <t>Count of Age Group</t>
  </si>
  <si>
    <t>Age Group</t>
  </si>
  <si>
    <t>Delay</t>
  </si>
  <si>
    <t>OnTime</t>
  </si>
  <si>
    <t>Count of Patient Attending Status</t>
  </si>
  <si>
    <t>Attending Status</t>
  </si>
  <si>
    <t>Female</t>
  </si>
  <si>
    <t>Male</t>
  </si>
  <si>
    <t>Count of Patient Gender</t>
  </si>
  <si>
    <t>Gender anlysis</t>
  </si>
  <si>
    <t>Cardiology</t>
  </si>
  <si>
    <t>Gastroenterology</t>
  </si>
  <si>
    <t>General Practice</t>
  </si>
  <si>
    <t>Neurology</t>
  </si>
  <si>
    <t>None</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</si>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</sst>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3" tint="-0.249977111117893"/>
        <bgColor indexed="64"/>
      </patternFill>
    </fill>
    <fill>
      <patternFill patternType="solid">
        <fgColor theme="2"/>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 fontId="0" fillId="0" borderId="0" xfId="0" applyNumberFormat="1"/>
    <xf numFmtId="10" fontId="0" fillId="0" borderId="0" xfId="0" applyNumberFormat="1"/>
    <xf numFmtId="9" fontId="0" fillId="0" borderId="0" xfId="1" applyFont="1"/>
    <xf numFmtId="0" fontId="0" fillId="3" borderId="0" xfId="0" applyFill="1"/>
    <xf numFmtId="0" fontId="0" fillId="3" borderId="0" xfId="0" applyFill="1" applyAlignment="1">
      <alignment horizontal="center"/>
    </xf>
    <xf numFmtId="9" fontId="0" fillId="3" borderId="0" xfId="1" applyFont="1" applyFill="1" applyAlignment="1">
      <alignment horizontal="center"/>
    </xf>
    <xf numFmtId="0" fontId="0" fillId="4" borderId="0" xfId="0" applyFill="1"/>
    <xf numFmtId="0" fontId="0" fillId="4" borderId="0" xfId="0" applyFill="1" applyAlignment="1">
      <alignment horizontal="center"/>
    </xf>
  </cellXfs>
  <cellStyles count="2">
    <cellStyle name="Normal" xfId="0" builtinId="0"/>
    <cellStyle name="Percent" xfId="1" builtinId="5"/>
  </cellStyles>
  <dxfs count="258">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tx>
            <c:rich>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9DE04DE9-22CA-4E9C-8CE7-3582C420C65C}" type="CELLRANGE">
                  <a:rPr lang="en-US"/>
                  <a:pPr>
                    <a:defRPr sz="600"/>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61282A41-E542-4400-B270-7A7FC27BBCBD}" type="CELLRANGE">
                  <a:rPr lang="en-US"/>
                  <a:pPr>
                    <a:defRPr sz="600"/>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37645804229623E-2"/>
          <c:y val="0.1403610052127908"/>
          <c:w val="0.92424669090054279"/>
          <c:h val="0.8416746864975212"/>
        </c:manualLayout>
      </c:layout>
      <c:barChart>
        <c:barDir val="bar"/>
        <c:grouping val="clustered"/>
        <c:varyColors val="0"/>
        <c:dLbls>
          <c:showLegendKey val="0"/>
          <c:showVal val="0"/>
          <c:showCatName val="0"/>
          <c:showSerName val="0"/>
          <c:showPercent val="0"/>
          <c:showBubbleSize val="0"/>
        </c:dLbls>
        <c:gapWidth val="79"/>
        <c:overlap val="-6"/>
        <c:axId val="265649248"/>
        <c:axId val="261626960"/>
      </c:barChart>
      <c:catAx>
        <c:axId val="265649248"/>
        <c:scaling>
          <c:orientation val="minMax"/>
        </c:scaling>
        <c:delete val="1"/>
        <c:axPos val="l"/>
        <c:numFmt formatCode="General" sourceLinked="1"/>
        <c:majorTickMark val="none"/>
        <c:minorTickMark val="none"/>
        <c:tickLblPos val="nextTo"/>
        <c:crossAx val="261626960"/>
        <c:crosses val="autoZero"/>
        <c:auto val="1"/>
        <c:lblAlgn val="ctr"/>
        <c:lblOffset val="100"/>
        <c:noMultiLvlLbl val="0"/>
      </c:catAx>
      <c:valAx>
        <c:axId val="261626960"/>
        <c:scaling>
          <c:orientation val="minMax"/>
        </c:scaling>
        <c:delete val="1"/>
        <c:axPos val="b"/>
        <c:numFmt formatCode="0.00" sourceLinked="1"/>
        <c:majorTickMark val="none"/>
        <c:minorTickMark val="none"/>
        <c:tickLblPos val="nextTo"/>
        <c:crossAx val="26564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 REPORT ANALYSIS!PivotTable9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504F357B-F790-462E-9E49-62956048C626}" type="CELLRANGE">
                  <a:rPr lang="en-US"/>
                  <a:pPr>
                    <a:defRPr sz="5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FB23F74C-DC28-4AE1-AEB4-CEFA100B09AC}" type="CELLRANGE">
                  <a:rPr lang="en-US"/>
                  <a:pPr>
                    <a:defRPr sz="5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3.8533327858733805E-2"/>
          <c:y val="9.8187593689093189E-2"/>
          <c:w val="0.94021706630580781"/>
          <c:h val="0.89814814814814814"/>
        </c:manualLayout>
      </c:layout>
      <c:barChart>
        <c:barDir val="bar"/>
        <c:grouping val="clustered"/>
        <c:varyColors val="0"/>
        <c:ser>
          <c:idx val="0"/>
          <c:order val="0"/>
          <c:tx>
            <c:strRef>
              <c:f>'PIVOT REPORT ANALYSIS'!$C$40:$C$41</c:f>
              <c:strCache>
                <c:ptCount val="1"/>
                <c:pt idx="0">
                  <c:v>Count of Patient Admission Flag</c:v>
                </c:pt>
              </c:strCache>
            </c:strRef>
          </c:tx>
          <c:spPr>
            <a:solidFill>
              <a:schemeClr val="accent1"/>
            </a:solidFill>
            <a:ln>
              <a:noFill/>
            </a:ln>
            <a:effectLst/>
          </c:spPr>
          <c:invertIfNegative val="0"/>
          <c:dLbls>
            <c:dLbl>
              <c:idx val="0"/>
              <c:tx>
                <c:rich>
                  <a:bodyPr/>
                  <a:lstStyle/>
                  <a:p>
                    <a:fld id="{504F357B-F790-462E-9E49-62956048C62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1"/>
              <c:tx>
                <c:rich>
                  <a:bodyPr/>
                  <a:lstStyle/>
                  <a:p>
                    <a:fld id="{FB23F74C-DC28-4AE1-AEB4-CEFA100B09A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 ANALYSIS'!$C$40:$C$41</c:f>
              <c:strCache>
                <c:ptCount val="2"/>
                <c:pt idx="0">
                  <c:v>Admitted</c:v>
                </c:pt>
                <c:pt idx="1">
                  <c:v>Not Admitted</c:v>
                </c:pt>
              </c:strCache>
            </c:strRef>
          </c:cat>
          <c:val>
            <c:numRef>
              <c:f>'PIVOT REPORT ANALYSIS'!$C$40:$C$41</c:f>
              <c:numCache>
                <c:formatCode>0.00</c:formatCode>
                <c:ptCount val="2"/>
                <c:pt idx="0">
                  <c:v>224</c:v>
                </c:pt>
                <c:pt idx="1">
                  <c:v>207</c:v>
                </c:pt>
              </c:numCache>
            </c:numRef>
          </c:val>
          <c:extLst>
            <c:ext xmlns:c16="http://schemas.microsoft.com/office/drawing/2014/chart" uri="{C3380CC4-5D6E-409C-BE32-E72D297353CC}">
              <c16:uniqueId val="{00000009-8C60-41A4-BBFD-3B93F81DAED7}"/>
            </c:ext>
          </c:extLst>
        </c:ser>
        <c:ser>
          <c:idx val="1"/>
          <c:order val="1"/>
          <c:tx>
            <c:strRef>
              <c:f>'PIVOT REPORT ANALYSIS'!$C$40:$C$41</c:f>
              <c:strCache>
                <c:ptCount val="1"/>
                <c:pt idx="0">
                  <c:v>Count of Patient Admission Flag2</c:v>
                </c:pt>
              </c:strCache>
            </c:strRef>
          </c:tx>
          <c:spPr>
            <a:solidFill>
              <a:schemeClr val="accent2"/>
            </a:solidFill>
            <a:ln>
              <a:noFill/>
            </a:ln>
            <a:effectLst/>
          </c:spPr>
          <c:invertIfNegative val="0"/>
          <c:cat>
            <c:strRef>
              <c:f>'PIVOT REPORT ANALYSIS'!$C$40:$C$41</c:f>
              <c:strCache>
                <c:ptCount val="2"/>
                <c:pt idx="0">
                  <c:v>Admitted</c:v>
                </c:pt>
                <c:pt idx="1">
                  <c:v>Not Admitted</c:v>
                </c:pt>
              </c:strCache>
            </c:strRef>
          </c:cat>
          <c:val>
            <c:numRef>
              <c:f>'PIVOT REPORT ANALYSIS'!$C$40:$C$41</c:f>
              <c:numCache>
                <c:formatCode>0.00%</c:formatCode>
                <c:ptCount val="2"/>
                <c:pt idx="0">
                  <c:v>0.51972157772621808</c:v>
                </c:pt>
                <c:pt idx="1">
                  <c:v>0.48027842227378192</c:v>
                </c:pt>
              </c:numCache>
            </c:numRef>
          </c:val>
          <c:extLst>
            <c:ext xmlns:c16="http://schemas.microsoft.com/office/drawing/2014/chart" uri="{C3380CC4-5D6E-409C-BE32-E72D297353CC}">
              <c16:uniqueId val="{0000000A-8C60-41A4-BBFD-3B93F81DAED7}"/>
            </c:ext>
          </c:extLst>
        </c:ser>
        <c:dLbls>
          <c:showLegendKey val="0"/>
          <c:showVal val="0"/>
          <c:showCatName val="0"/>
          <c:showSerName val="0"/>
          <c:showPercent val="0"/>
          <c:showBubbleSize val="0"/>
        </c:dLbls>
        <c:gapWidth val="169"/>
        <c:overlap val="1"/>
        <c:axId val="492244943"/>
        <c:axId val="492245423"/>
      </c:barChart>
      <c:catAx>
        <c:axId val="492244943"/>
        <c:scaling>
          <c:orientation val="minMax"/>
        </c:scaling>
        <c:delete val="1"/>
        <c:axPos val="l"/>
        <c:numFmt formatCode="General" sourceLinked="1"/>
        <c:majorTickMark val="none"/>
        <c:minorTickMark val="none"/>
        <c:tickLblPos val="nextTo"/>
        <c:crossAx val="492245423"/>
        <c:crosses val="autoZero"/>
        <c:auto val="1"/>
        <c:lblAlgn val="ctr"/>
        <c:lblOffset val="100"/>
        <c:noMultiLvlLbl val="0"/>
      </c:catAx>
      <c:valAx>
        <c:axId val="492245423"/>
        <c:scaling>
          <c:orientation val="minMax"/>
        </c:scaling>
        <c:delete val="1"/>
        <c:axPos val="b"/>
        <c:numFmt formatCode="0.00" sourceLinked="1"/>
        <c:majorTickMark val="none"/>
        <c:minorTickMark val="none"/>
        <c:tickLblPos val="nextTo"/>
        <c:crossAx val="49224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 REPORT ANALYSIS!PivotTable4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6109154395262988"/>
          <c:w val="0.99809703482725265"/>
          <c:h val="0.63316769134684348"/>
        </c:manualLayout>
      </c:layout>
      <c:areaChart>
        <c:grouping val="standard"/>
        <c:varyColors val="0"/>
        <c:ser>
          <c:idx val="0"/>
          <c:order val="0"/>
          <c:tx>
            <c:strRef>
              <c:f>'PIVOT REPORT ANALYSIS'!$D$4</c:f>
              <c:strCache>
                <c:ptCount val="1"/>
                <c:pt idx="0">
                  <c:v>Total</c:v>
                </c:pt>
              </c:strCache>
            </c:strRef>
          </c:tx>
          <c:spPr>
            <a:solidFill>
              <a:schemeClr val="accent1"/>
            </a:solidFill>
            <a:ln w="25400">
              <a:noFill/>
            </a:ln>
            <a:effectLst/>
          </c:spPr>
          <c:cat>
            <c:strRef>
              <c:f>'PIVOT REPORT ANALYSIS'!$C$5:$C$34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 ANALYSIS'!$D$5:$D$34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4-A2FD-4414-86A7-8F93060128D9}"/>
            </c:ext>
          </c:extLst>
        </c:ser>
        <c:dLbls>
          <c:showLegendKey val="0"/>
          <c:showVal val="0"/>
          <c:showCatName val="0"/>
          <c:showSerName val="0"/>
          <c:showPercent val="0"/>
          <c:showBubbleSize val="0"/>
        </c:dLbls>
        <c:axId val="274664928"/>
        <c:axId val="274663008"/>
      </c:areaChart>
      <c:catAx>
        <c:axId val="274664928"/>
        <c:scaling>
          <c:orientation val="minMax"/>
        </c:scaling>
        <c:delete val="1"/>
        <c:axPos val="b"/>
        <c:numFmt formatCode="General" sourceLinked="1"/>
        <c:majorTickMark val="out"/>
        <c:minorTickMark val="none"/>
        <c:tickLblPos val="nextTo"/>
        <c:crossAx val="274663008"/>
        <c:crosses val="autoZero"/>
        <c:auto val="1"/>
        <c:lblAlgn val="ctr"/>
        <c:lblOffset val="100"/>
        <c:noMultiLvlLbl val="0"/>
      </c:catAx>
      <c:valAx>
        <c:axId val="274663008"/>
        <c:scaling>
          <c:orientation val="minMax"/>
        </c:scaling>
        <c:delete val="1"/>
        <c:axPos val="l"/>
        <c:numFmt formatCode="General" sourceLinked="1"/>
        <c:majorTickMark val="none"/>
        <c:minorTickMark val="none"/>
        <c:tickLblPos val="nextTo"/>
        <c:crossAx val="2746649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 REPORT ANALYSIS!PivotTable5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72257533472630131"/>
          <c:w val="1"/>
          <c:h val="0.27742466527369875"/>
        </c:manualLayout>
      </c:layout>
      <c:areaChart>
        <c:grouping val="standard"/>
        <c:varyColors val="0"/>
        <c:ser>
          <c:idx val="0"/>
          <c:order val="0"/>
          <c:tx>
            <c:strRef>
              <c:f>'PIVOT REPORT ANALYSIS'!$I$4</c:f>
              <c:strCache>
                <c:ptCount val="1"/>
                <c:pt idx="0">
                  <c:v>Total</c:v>
                </c:pt>
              </c:strCache>
            </c:strRef>
          </c:tx>
          <c:spPr>
            <a:solidFill>
              <a:schemeClr val="accent1"/>
            </a:solidFill>
            <a:ln w="25400">
              <a:noFill/>
            </a:ln>
            <a:effectLst/>
          </c:spPr>
          <c:cat>
            <c:strRef>
              <c:f>'PIVOT REPORT ANALYSIS'!$H$5:$H$34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 ANALYSIS'!$I$5:$I$34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4-C52B-4C26-AA72-B22C251D3D6C}"/>
            </c:ext>
          </c:extLst>
        </c:ser>
        <c:dLbls>
          <c:showLegendKey val="0"/>
          <c:showVal val="0"/>
          <c:showCatName val="0"/>
          <c:showSerName val="0"/>
          <c:showPercent val="0"/>
          <c:showBubbleSize val="0"/>
        </c:dLbls>
        <c:axId val="270428416"/>
        <c:axId val="270426496"/>
      </c:areaChart>
      <c:catAx>
        <c:axId val="270428416"/>
        <c:scaling>
          <c:orientation val="minMax"/>
        </c:scaling>
        <c:delete val="1"/>
        <c:axPos val="b"/>
        <c:numFmt formatCode="General" sourceLinked="1"/>
        <c:majorTickMark val="out"/>
        <c:minorTickMark val="none"/>
        <c:tickLblPos val="nextTo"/>
        <c:crossAx val="270426496"/>
        <c:crosses val="autoZero"/>
        <c:auto val="1"/>
        <c:lblAlgn val="ctr"/>
        <c:lblOffset val="100"/>
        <c:noMultiLvlLbl val="0"/>
      </c:catAx>
      <c:valAx>
        <c:axId val="270426496"/>
        <c:scaling>
          <c:orientation val="minMax"/>
        </c:scaling>
        <c:delete val="1"/>
        <c:axPos val="l"/>
        <c:numFmt formatCode="0.00" sourceLinked="1"/>
        <c:majorTickMark val="none"/>
        <c:minorTickMark val="none"/>
        <c:tickLblPos val="nextTo"/>
        <c:crossAx val="2704284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 REPORT ANALYSIS!PivotTable6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65951824435504969"/>
          <c:w val="1"/>
          <c:h val="0.34048175564495026"/>
        </c:manualLayout>
      </c:layout>
      <c:areaChart>
        <c:grouping val="standard"/>
        <c:varyColors val="0"/>
        <c:ser>
          <c:idx val="0"/>
          <c:order val="0"/>
          <c:tx>
            <c:strRef>
              <c:f>'PIVOT REPORT ANALYSIS'!$M$4</c:f>
              <c:strCache>
                <c:ptCount val="1"/>
                <c:pt idx="0">
                  <c:v>Total</c:v>
                </c:pt>
              </c:strCache>
            </c:strRef>
          </c:tx>
          <c:spPr>
            <a:solidFill>
              <a:schemeClr val="accent1"/>
            </a:solidFill>
            <a:ln w="25400">
              <a:noFill/>
            </a:ln>
            <a:effectLst/>
          </c:spPr>
          <c:cat>
            <c:strRef>
              <c:f>'PIVOT REPORT ANALYSIS'!$L$5:$L$33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 ANALYSIS'!$M$5:$M$33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4-6130-4F5A-BF68-A302DEB7DE80}"/>
            </c:ext>
          </c:extLst>
        </c:ser>
        <c:dLbls>
          <c:showLegendKey val="0"/>
          <c:showVal val="0"/>
          <c:showCatName val="0"/>
          <c:showSerName val="0"/>
          <c:showPercent val="0"/>
          <c:showBubbleSize val="0"/>
        </c:dLbls>
        <c:axId val="411211152"/>
        <c:axId val="411213072"/>
      </c:areaChart>
      <c:catAx>
        <c:axId val="411211152"/>
        <c:scaling>
          <c:orientation val="minMax"/>
        </c:scaling>
        <c:delete val="1"/>
        <c:axPos val="b"/>
        <c:numFmt formatCode="General" sourceLinked="1"/>
        <c:majorTickMark val="out"/>
        <c:minorTickMark val="none"/>
        <c:tickLblPos val="nextTo"/>
        <c:crossAx val="411213072"/>
        <c:crosses val="autoZero"/>
        <c:auto val="1"/>
        <c:lblAlgn val="ctr"/>
        <c:lblOffset val="100"/>
        <c:noMultiLvlLbl val="0"/>
      </c:catAx>
      <c:valAx>
        <c:axId val="411213072"/>
        <c:scaling>
          <c:orientation val="minMax"/>
        </c:scaling>
        <c:delete val="1"/>
        <c:axPos val="l"/>
        <c:numFmt formatCode="0.00" sourceLinked="1"/>
        <c:majorTickMark val="none"/>
        <c:minorTickMark val="none"/>
        <c:tickLblPos val="nextTo"/>
        <c:crossAx val="4112111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 REPORT ANALYSIS!PivotTable10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396932628020326E-2"/>
          <c:y val="9.6613740249006819E-2"/>
          <c:w val="0.83783770568106208"/>
          <c:h val="0.57082700590953916"/>
        </c:manualLayout>
      </c:layout>
      <c:barChart>
        <c:barDir val="col"/>
        <c:grouping val="clustered"/>
        <c:varyColors val="0"/>
        <c:ser>
          <c:idx val="0"/>
          <c:order val="0"/>
          <c:tx>
            <c:strRef>
              <c:f>'PIVOT REPORT ANALYSIS'!$B$51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ANALYSIS'!$A$52:$A$60</c:f>
              <c:strCache>
                <c:ptCount val="8"/>
                <c:pt idx="0">
                  <c:v>0-09</c:v>
                </c:pt>
                <c:pt idx="1">
                  <c:v>10-19</c:v>
                </c:pt>
                <c:pt idx="2">
                  <c:v>20-29</c:v>
                </c:pt>
                <c:pt idx="3">
                  <c:v>30-39</c:v>
                </c:pt>
                <c:pt idx="4">
                  <c:v>40-49</c:v>
                </c:pt>
                <c:pt idx="5">
                  <c:v>50-59</c:v>
                </c:pt>
                <c:pt idx="6">
                  <c:v>60-69</c:v>
                </c:pt>
                <c:pt idx="7">
                  <c:v>70-79</c:v>
                </c:pt>
              </c:strCache>
            </c:strRef>
          </c:cat>
          <c:val>
            <c:numRef>
              <c:f>'PIVOT REPORT ANALYSIS'!$B$52:$B$60</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4-A17D-4AFC-AEFD-050C093AE6BC}"/>
            </c:ext>
          </c:extLst>
        </c:ser>
        <c:dLbls>
          <c:showLegendKey val="0"/>
          <c:showVal val="0"/>
          <c:showCatName val="0"/>
          <c:showSerName val="0"/>
          <c:showPercent val="0"/>
          <c:showBubbleSize val="0"/>
        </c:dLbls>
        <c:gapWidth val="219"/>
        <c:overlap val="-27"/>
        <c:axId val="276126368"/>
        <c:axId val="276127328"/>
      </c:barChart>
      <c:catAx>
        <c:axId val="27612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76127328"/>
        <c:crosses val="autoZero"/>
        <c:auto val="1"/>
        <c:lblAlgn val="ctr"/>
        <c:lblOffset val="100"/>
        <c:noMultiLvlLbl val="0"/>
      </c:catAx>
      <c:valAx>
        <c:axId val="276127328"/>
        <c:scaling>
          <c:orientation val="minMax"/>
        </c:scaling>
        <c:delete val="1"/>
        <c:axPos val="l"/>
        <c:numFmt formatCode="0" sourceLinked="1"/>
        <c:majorTickMark val="none"/>
        <c:minorTickMark val="none"/>
        <c:tickLblPos val="nextTo"/>
        <c:crossAx val="27612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 REPORT ANALYSIS!PivotTable11</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079373570255743"/>
          <c:y val="0.22238285549653905"/>
          <c:w val="0.72317209748135436"/>
          <c:h val="0.726967118103646"/>
        </c:manualLayout>
      </c:layout>
      <c:pieChart>
        <c:varyColors val="1"/>
        <c:ser>
          <c:idx val="0"/>
          <c:order val="0"/>
          <c:tx>
            <c:strRef>
              <c:f>'PIVOT REPORT ANALYSIS'!$B$63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 ANALYSIS'!$A$64:$A$66</c:f>
              <c:strCache>
                <c:ptCount val="2"/>
                <c:pt idx="0">
                  <c:v>Delay</c:v>
                </c:pt>
                <c:pt idx="1">
                  <c:v>OnTime</c:v>
                </c:pt>
              </c:strCache>
            </c:strRef>
          </c:cat>
          <c:val>
            <c:numRef>
              <c:f>'PIVOT REPORT ANALYSIS'!$B$64:$B$66</c:f>
              <c:numCache>
                <c:formatCode>0</c:formatCode>
                <c:ptCount val="2"/>
                <c:pt idx="0">
                  <c:v>283</c:v>
                </c:pt>
                <c:pt idx="1">
                  <c:v>148</c:v>
                </c:pt>
              </c:numCache>
            </c:numRef>
          </c:val>
          <c:extLst>
            <c:ext xmlns:c16="http://schemas.microsoft.com/office/drawing/2014/chart" uri="{C3380CC4-5D6E-409C-BE32-E72D297353CC}">
              <c16:uniqueId val="{00000008-8602-4497-B3D2-AFEBC9FD7AB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5.8786943070509683E-2"/>
          <c:y val="4.9170034055567458E-3"/>
          <c:w val="0.84754901915593661"/>
          <c:h val="0.321378225354866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 REPORT ANALYSIS!PivotTable12</c:name>
    <c:fmtId val="1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026939995369688"/>
          <c:y val="0.24454019539772029"/>
          <c:w val="0.70323406225664553"/>
          <c:h val="0.61504042622591126"/>
        </c:manualLayout>
      </c:layout>
      <c:doughnutChart>
        <c:varyColors val="1"/>
        <c:ser>
          <c:idx val="0"/>
          <c:order val="0"/>
          <c:tx>
            <c:strRef>
              <c:f>'PIVOT REPORT ANALYSIS'!$B$69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 ANALYSIS'!$A$70:$A$72</c:f>
              <c:strCache>
                <c:ptCount val="2"/>
                <c:pt idx="0">
                  <c:v>Female</c:v>
                </c:pt>
                <c:pt idx="1">
                  <c:v>Male</c:v>
                </c:pt>
              </c:strCache>
            </c:strRef>
          </c:cat>
          <c:val>
            <c:numRef>
              <c:f>'PIVOT REPORT ANALYSIS'!$B$70:$B$72</c:f>
              <c:numCache>
                <c:formatCode>0.00</c:formatCode>
                <c:ptCount val="2"/>
                <c:pt idx="0">
                  <c:v>194</c:v>
                </c:pt>
                <c:pt idx="1">
                  <c:v>237</c:v>
                </c:pt>
              </c:numCache>
            </c:numRef>
          </c:val>
          <c:extLst>
            <c:ext xmlns:c16="http://schemas.microsoft.com/office/drawing/2014/chart" uri="{C3380CC4-5D6E-409C-BE32-E72D297353CC}">
              <c16:uniqueId val="{00000008-7ED9-4CB3-BA7F-5C77ACF93CC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
          <c:y val="2.5437487529019181E-2"/>
          <c:w val="0.9962250331488226"/>
          <c:h val="0.238453252321351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 REPORT ANALYSIS!PivotTable13</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53765742160164"/>
          <c:y val="7.3418776602481736E-2"/>
          <c:w val="0.64585405071988067"/>
          <c:h val="0.75326958857170645"/>
        </c:manualLayout>
      </c:layout>
      <c:barChart>
        <c:barDir val="bar"/>
        <c:grouping val="clustered"/>
        <c:varyColors val="0"/>
        <c:ser>
          <c:idx val="0"/>
          <c:order val="0"/>
          <c:tx>
            <c:strRef>
              <c:f>'PIVOT REPORT ANALYSIS'!$B$75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ANALYSIS'!$A$76:$A$84</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 REPORT ANALYSIS'!$B$76:$B$84</c:f>
              <c:numCache>
                <c:formatCode>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4-3150-4D21-96B4-DB56828251AA}"/>
            </c:ext>
          </c:extLst>
        </c:ser>
        <c:dLbls>
          <c:showLegendKey val="0"/>
          <c:showVal val="0"/>
          <c:showCatName val="0"/>
          <c:showSerName val="0"/>
          <c:showPercent val="0"/>
          <c:showBubbleSize val="0"/>
        </c:dLbls>
        <c:gapWidth val="182"/>
        <c:axId val="430967664"/>
        <c:axId val="430970544"/>
      </c:barChart>
      <c:catAx>
        <c:axId val="430967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30970544"/>
        <c:crosses val="autoZero"/>
        <c:auto val="1"/>
        <c:lblAlgn val="ctr"/>
        <c:lblOffset val="100"/>
        <c:noMultiLvlLbl val="0"/>
      </c:catAx>
      <c:valAx>
        <c:axId val="430970544"/>
        <c:scaling>
          <c:orientation val="minMax"/>
        </c:scaling>
        <c:delete val="1"/>
        <c:axPos val="b"/>
        <c:numFmt formatCode="0" sourceLinked="1"/>
        <c:majorTickMark val="none"/>
        <c:minorTickMark val="none"/>
        <c:tickLblPos val="nextTo"/>
        <c:crossAx val="43096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image" Target="../media/image8.png"/><Relationship Id="rId10" Type="http://schemas.openxmlformats.org/officeDocument/2006/relationships/image" Target="../media/image7.emf"/><Relationship Id="rId4" Type="http://schemas.openxmlformats.org/officeDocument/2006/relationships/image" Target="../media/image4.svg"/><Relationship Id="rId9" Type="http://schemas.openxmlformats.org/officeDocument/2006/relationships/chart" Target="../charts/chart5.xml"/><Relationship Id="rId14"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0</xdr:colOff>
      <xdr:row>45</xdr:row>
      <xdr:rowOff>91807</xdr:rowOff>
    </xdr:from>
    <xdr:to>
      <xdr:col>0</xdr:col>
      <xdr:colOff>9182</xdr:colOff>
      <xdr:row>48</xdr:row>
      <xdr:rowOff>36723</xdr:rowOff>
    </xdr:to>
    <xdr:graphicFrame macro="">
      <xdr:nvGraphicFramePr>
        <xdr:cNvPr id="6" name="Chart 5">
          <a:extLst>
            <a:ext uri="{FF2B5EF4-FFF2-40B4-BE49-F238E27FC236}">
              <a16:creationId xmlns:a16="http://schemas.microsoft.com/office/drawing/2014/main" id="{E434AE13-B30F-6131-2F21-AECD147D1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2138084</xdr:colOff>
      <xdr:row>45</xdr:row>
      <xdr:rowOff>94132</xdr:rowOff>
    </xdr:from>
    <xdr:to>
      <xdr:col>4</xdr:col>
      <xdr:colOff>0</xdr:colOff>
      <xdr:row>48</xdr:row>
      <xdr:rowOff>17929</xdr:rowOff>
    </xdr:to>
    <xdr:graphicFrame macro="">
      <xdr:nvGraphicFramePr>
        <xdr:cNvPr id="7" name="Chart 6">
          <a:extLst>
            <a:ext uri="{FF2B5EF4-FFF2-40B4-BE49-F238E27FC236}">
              <a16:creationId xmlns:a16="http://schemas.microsoft.com/office/drawing/2014/main" id="{2308DD63-3AE0-E3B8-EC1B-23AFD8EED9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13063</xdr:colOff>
      <xdr:row>0</xdr:row>
      <xdr:rowOff>17417</xdr:rowOff>
    </xdr:from>
    <xdr:to>
      <xdr:col>5</xdr:col>
      <xdr:colOff>104503</xdr:colOff>
      <xdr:row>2</xdr:row>
      <xdr:rowOff>82731</xdr:rowOff>
    </xdr:to>
    <xdr:sp macro="" textlink="">
      <xdr:nvSpPr>
        <xdr:cNvPr id="2" name="Rectangle: Rounded Corners 1">
          <a:extLst>
            <a:ext uri="{FF2B5EF4-FFF2-40B4-BE49-F238E27FC236}">
              <a16:creationId xmlns:a16="http://schemas.microsoft.com/office/drawing/2014/main" id="{B32F9EC3-157B-0450-8AE8-2C46C28157B4}"/>
            </a:ext>
          </a:extLst>
        </xdr:cNvPr>
        <xdr:cNvSpPr/>
      </xdr:nvSpPr>
      <xdr:spPr>
        <a:xfrm>
          <a:off x="13063" y="17417"/>
          <a:ext cx="3139440" cy="429381"/>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56606</xdr:colOff>
      <xdr:row>0</xdr:row>
      <xdr:rowOff>26124</xdr:rowOff>
    </xdr:from>
    <xdr:to>
      <xdr:col>9</xdr:col>
      <xdr:colOff>30481</xdr:colOff>
      <xdr:row>7</xdr:row>
      <xdr:rowOff>91439</xdr:rowOff>
    </xdr:to>
    <xdr:sp macro="" textlink="">
      <xdr:nvSpPr>
        <xdr:cNvPr id="3" name="Rectangle: Rounded Corners 2">
          <a:extLst>
            <a:ext uri="{FF2B5EF4-FFF2-40B4-BE49-F238E27FC236}">
              <a16:creationId xmlns:a16="http://schemas.microsoft.com/office/drawing/2014/main" id="{8ED04D88-1E5D-EA39-07BF-120C17021358}"/>
            </a:ext>
          </a:extLst>
        </xdr:cNvPr>
        <xdr:cNvSpPr/>
      </xdr:nvSpPr>
      <xdr:spPr>
        <a:xfrm>
          <a:off x="4323806" y="26124"/>
          <a:ext cx="1193075" cy="1339548"/>
        </a:xfrm>
        <a:prstGeom prst="roundRect">
          <a:avLst>
            <a:gd name="adj" fmla="val 7442"/>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156755</xdr:colOff>
      <xdr:row>0</xdr:row>
      <xdr:rowOff>21771</xdr:rowOff>
    </xdr:from>
    <xdr:to>
      <xdr:col>7</xdr:col>
      <xdr:colOff>1</xdr:colOff>
      <xdr:row>2</xdr:row>
      <xdr:rowOff>87085</xdr:rowOff>
    </xdr:to>
    <xdr:sp macro="" textlink="">
      <xdr:nvSpPr>
        <xdr:cNvPr id="4" name="Rectangle: Rounded Corners 3">
          <a:extLst>
            <a:ext uri="{FF2B5EF4-FFF2-40B4-BE49-F238E27FC236}">
              <a16:creationId xmlns:a16="http://schemas.microsoft.com/office/drawing/2014/main" id="{93785B11-FFA4-04BD-3F63-58ACFB660932}"/>
            </a:ext>
          </a:extLst>
        </xdr:cNvPr>
        <xdr:cNvSpPr/>
      </xdr:nvSpPr>
      <xdr:spPr>
        <a:xfrm>
          <a:off x="3204755" y="21771"/>
          <a:ext cx="1062446" cy="431074"/>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74023</xdr:colOff>
      <xdr:row>0</xdr:row>
      <xdr:rowOff>26124</xdr:rowOff>
    </xdr:from>
    <xdr:to>
      <xdr:col>11</xdr:col>
      <xdr:colOff>47898</xdr:colOff>
      <xdr:row>7</xdr:row>
      <xdr:rowOff>91439</xdr:rowOff>
    </xdr:to>
    <xdr:sp macro="" textlink="">
      <xdr:nvSpPr>
        <xdr:cNvPr id="5" name="Rectangle: Rounded Corners 4">
          <a:extLst>
            <a:ext uri="{FF2B5EF4-FFF2-40B4-BE49-F238E27FC236}">
              <a16:creationId xmlns:a16="http://schemas.microsoft.com/office/drawing/2014/main" id="{B2D8912B-6801-424E-0A00-9A0A4818F6FB}"/>
            </a:ext>
          </a:extLst>
        </xdr:cNvPr>
        <xdr:cNvSpPr/>
      </xdr:nvSpPr>
      <xdr:spPr>
        <a:xfrm>
          <a:off x="5560423" y="26124"/>
          <a:ext cx="1193075" cy="1351750"/>
        </a:xfrm>
        <a:prstGeom prst="roundRect">
          <a:avLst>
            <a:gd name="adj" fmla="val 7442"/>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25763</xdr:colOff>
      <xdr:row>2</xdr:row>
      <xdr:rowOff>121919</xdr:rowOff>
    </xdr:from>
    <xdr:to>
      <xdr:col>1</xdr:col>
      <xdr:colOff>352334</xdr:colOff>
      <xdr:row>15</xdr:row>
      <xdr:rowOff>104502</xdr:rowOff>
    </xdr:to>
    <xdr:sp macro="" textlink="">
      <xdr:nvSpPr>
        <xdr:cNvPr id="7" name="Rectangle: Rounded Corners 6">
          <a:extLst>
            <a:ext uri="{FF2B5EF4-FFF2-40B4-BE49-F238E27FC236}">
              <a16:creationId xmlns:a16="http://schemas.microsoft.com/office/drawing/2014/main" id="{6A612803-1E1F-4C1E-3CB3-8014BE7EBEFC}"/>
            </a:ext>
          </a:extLst>
        </xdr:cNvPr>
        <xdr:cNvSpPr/>
      </xdr:nvSpPr>
      <xdr:spPr>
        <a:xfrm>
          <a:off x="25763" y="485986"/>
          <a:ext cx="936171" cy="2349016"/>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398296</xdr:colOff>
      <xdr:row>2</xdr:row>
      <xdr:rowOff>121919</xdr:rowOff>
    </xdr:from>
    <xdr:to>
      <xdr:col>7</xdr:col>
      <xdr:colOff>0</xdr:colOff>
      <xdr:row>6</xdr:row>
      <xdr:rowOff>38100</xdr:rowOff>
    </xdr:to>
    <xdr:grpSp>
      <xdr:nvGrpSpPr>
        <xdr:cNvPr id="10" name="Group 9">
          <a:extLst>
            <a:ext uri="{FF2B5EF4-FFF2-40B4-BE49-F238E27FC236}">
              <a16:creationId xmlns:a16="http://schemas.microsoft.com/office/drawing/2014/main" id="{0226CB7E-0A39-5FE5-4BD1-8EC2FA795BCD}"/>
            </a:ext>
          </a:extLst>
        </xdr:cNvPr>
        <xdr:cNvGrpSpPr/>
      </xdr:nvGrpSpPr>
      <xdr:grpSpPr>
        <a:xfrm>
          <a:off x="1007896" y="489472"/>
          <a:ext cx="3259304" cy="651287"/>
          <a:chOff x="1007896" y="485986"/>
          <a:chExt cx="2942771" cy="555414"/>
        </a:xfrm>
      </xdr:grpSpPr>
      <xdr:sp macro="" textlink="">
        <xdr:nvSpPr>
          <xdr:cNvPr id="6" name="Rectangle: Rounded Corners 5">
            <a:extLst>
              <a:ext uri="{FF2B5EF4-FFF2-40B4-BE49-F238E27FC236}">
                <a16:creationId xmlns:a16="http://schemas.microsoft.com/office/drawing/2014/main" id="{53C0E3CB-98A6-ADD2-D7A6-2A75088AB67D}"/>
              </a:ext>
            </a:extLst>
          </xdr:cNvPr>
          <xdr:cNvSpPr/>
        </xdr:nvSpPr>
        <xdr:spPr>
          <a:xfrm>
            <a:off x="1007896" y="485986"/>
            <a:ext cx="936171" cy="555414"/>
          </a:xfrm>
          <a:prstGeom prst="roundRect">
            <a:avLst>
              <a:gd name="adj" fmla="val 6154"/>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FCC54A39-CF78-147B-C433-C1B21EC07BCD}"/>
              </a:ext>
            </a:extLst>
          </xdr:cNvPr>
          <xdr:cNvSpPr/>
        </xdr:nvSpPr>
        <xdr:spPr>
          <a:xfrm>
            <a:off x="2011196" y="485986"/>
            <a:ext cx="936171" cy="555414"/>
          </a:xfrm>
          <a:prstGeom prst="roundRect">
            <a:avLst>
              <a:gd name="adj" fmla="val 6812"/>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6218E39D-CCFB-7DF4-1FC7-7C44C4407361}"/>
              </a:ext>
            </a:extLst>
          </xdr:cNvPr>
          <xdr:cNvSpPr/>
        </xdr:nvSpPr>
        <xdr:spPr>
          <a:xfrm>
            <a:off x="3014496" y="485986"/>
            <a:ext cx="936171" cy="555414"/>
          </a:xfrm>
          <a:prstGeom prst="roundRect">
            <a:avLst>
              <a:gd name="adj" fmla="val 7469"/>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xdr:col>
      <xdr:colOff>394063</xdr:colOff>
      <xdr:row>6</xdr:row>
      <xdr:rowOff>76684</xdr:rowOff>
    </xdr:from>
    <xdr:to>
      <xdr:col>7</xdr:col>
      <xdr:colOff>4233</xdr:colOff>
      <xdr:row>8</xdr:row>
      <xdr:rowOff>141998</xdr:rowOff>
    </xdr:to>
    <xdr:sp macro="" textlink="">
      <xdr:nvSpPr>
        <xdr:cNvPr id="11" name="Rectangle: Rounded Corners 10">
          <a:extLst>
            <a:ext uri="{FF2B5EF4-FFF2-40B4-BE49-F238E27FC236}">
              <a16:creationId xmlns:a16="http://schemas.microsoft.com/office/drawing/2014/main" id="{4EC9D373-5851-DCC5-6AD7-C28E61428F1E}"/>
            </a:ext>
          </a:extLst>
        </xdr:cNvPr>
        <xdr:cNvSpPr/>
      </xdr:nvSpPr>
      <xdr:spPr>
        <a:xfrm>
          <a:off x="1003663" y="1168884"/>
          <a:ext cx="3267770" cy="429381"/>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394063</xdr:colOff>
      <xdr:row>9</xdr:row>
      <xdr:rowOff>4718</xdr:rowOff>
    </xdr:from>
    <xdr:to>
      <xdr:col>7</xdr:col>
      <xdr:colOff>4233</xdr:colOff>
      <xdr:row>15</xdr:row>
      <xdr:rowOff>84667</xdr:rowOff>
    </xdr:to>
    <xdr:sp macro="" textlink="">
      <xdr:nvSpPr>
        <xdr:cNvPr id="12" name="Rectangle: Rounded Corners 11">
          <a:extLst>
            <a:ext uri="{FF2B5EF4-FFF2-40B4-BE49-F238E27FC236}">
              <a16:creationId xmlns:a16="http://schemas.microsoft.com/office/drawing/2014/main" id="{E6B05955-B21A-A34F-2A49-970D02DFEE1B}"/>
            </a:ext>
          </a:extLst>
        </xdr:cNvPr>
        <xdr:cNvSpPr/>
      </xdr:nvSpPr>
      <xdr:spPr>
        <a:xfrm>
          <a:off x="1003663" y="1643018"/>
          <a:ext cx="3267770" cy="1172149"/>
        </a:xfrm>
        <a:prstGeom prst="roundRect">
          <a:avLst>
            <a:gd name="adj" fmla="val 5832"/>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59267</xdr:colOff>
      <xdr:row>7</xdr:row>
      <xdr:rowOff>148890</xdr:rowOff>
    </xdr:from>
    <xdr:to>
      <xdr:col>11</xdr:col>
      <xdr:colOff>47898</xdr:colOff>
      <xdr:row>15</xdr:row>
      <xdr:rowOff>84666</xdr:rowOff>
    </xdr:to>
    <xdr:sp macro="" textlink="">
      <xdr:nvSpPr>
        <xdr:cNvPr id="13" name="Rectangle: Rounded Corners 12">
          <a:extLst>
            <a:ext uri="{FF2B5EF4-FFF2-40B4-BE49-F238E27FC236}">
              <a16:creationId xmlns:a16="http://schemas.microsoft.com/office/drawing/2014/main" id="{7F45BF97-F7A7-8DEF-5569-2AD8268CF867}"/>
            </a:ext>
          </a:extLst>
        </xdr:cNvPr>
        <xdr:cNvSpPr/>
      </xdr:nvSpPr>
      <xdr:spPr>
        <a:xfrm>
          <a:off x="4326467" y="1423123"/>
          <a:ext cx="2427031" cy="1392043"/>
        </a:xfrm>
        <a:prstGeom prst="roundRect">
          <a:avLst>
            <a:gd name="adj" fmla="val 7442"/>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84667</xdr:colOff>
      <xdr:row>0</xdr:row>
      <xdr:rowOff>33866</xdr:rowOff>
    </xdr:from>
    <xdr:to>
      <xdr:col>5</xdr:col>
      <xdr:colOff>414867</xdr:colOff>
      <xdr:row>1</xdr:row>
      <xdr:rowOff>131234</xdr:rowOff>
    </xdr:to>
    <xdr:sp macro="" textlink="">
      <xdr:nvSpPr>
        <xdr:cNvPr id="14" name="TextBox 13">
          <a:extLst>
            <a:ext uri="{FF2B5EF4-FFF2-40B4-BE49-F238E27FC236}">
              <a16:creationId xmlns:a16="http://schemas.microsoft.com/office/drawing/2014/main" id="{D0E49881-E184-27B0-737E-B2360A3619C1}"/>
            </a:ext>
          </a:extLst>
        </xdr:cNvPr>
        <xdr:cNvSpPr txBox="1"/>
      </xdr:nvSpPr>
      <xdr:spPr>
        <a:xfrm>
          <a:off x="84667" y="33866"/>
          <a:ext cx="3378200"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i="0" u="none">
              <a:latin typeface="Californian FB" panose="0207040306080B030204" pitchFamily="18" charset="0"/>
            </a:rPr>
            <a:t>HOSPITAL</a:t>
          </a:r>
          <a:r>
            <a:rPr lang="en-IN" sz="900" b="1" i="0" u="none" baseline="0">
              <a:latin typeface="Californian FB" panose="0207040306080B030204" pitchFamily="18" charset="0"/>
            </a:rPr>
            <a:t> EMERGENCY ROOM DASHBOARD</a:t>
          </a:r>
          <a:endParaRPr lang="en-IN" sz="900" b="1" i="0" u="none">
            <a:latin typeface="Californian FB" panose="0207040306080B030204" pitchFamily="18" charset="0"/>
          </a:endParaRPr>
        </a:p>
      </xdr:txBody>
    </xdr:sp>
    <xdr:clientData/>
  </xdr:twoCellAnchor>
  <xdr:twoCellAnchor editAs="absolute">
    <xdr:from>
      <xdr:col>1</xdr:col>
      <xdr:colOff>215901</xdr:colOff>
      <xdr:row>0</xdr:row>
      <xdr:rowOff>182032</xdr:rowOff>
    </xdr:from>
    <xdr:to>
      <xdr:col>4</xdr:col>
      <xdr:colOff>186267</xdr:colOff>
      <xdr:row>2</xdr:row>
      <xdr:rowOff>97366</xdr:rowOff>
    </xdr:to>
    <xdr:sp macro="" textlink="">
      <xdr:nvSpPr>
        <xdr:cNvPr id="21" name="TextBox 20">
          <a:extLst>
            <a:ext uri="{FF2B5EF4-FFF2-40B4-BE49-F238E27FC236}">
              <a16:creationId xmlns:a16="http://schemas.microsoft.com/office/drawing/2014/main" id="{18B2410D-6A97-95F9-6DDA-2CFA6C4C5BCA}"/>
            </a:ext>
          </a:extLst>
        </xdr:cNvPr>
        <xdr:cNvSpPr txBox="1"/>
      </xdr:nvSpPr>
      <xdr:spPr>
        <a:xfrm>
          <a:off x="825501" y="182032"/>
          <a:ext cx="1799166"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i="0" u="none">
              <a:latin typeface="Californian FB" panose="0207040306080B030204" pitchFamily="18" charset="0"/>
            </a:rPr>
            <a:t>MONTHLY</a:t>
          </a:r>
          <a:r>
            <a:rPr lang="en-IN" sz="900" b="1" i="0" u="none" baseline="0">
              <a:latin typeface="Californian FB" panose="0207040306080B030204" pitchFamily="18" charset="0"/>
            </a:rPr>
            <a:t> REPORT</a:t>
          </a:r>
          <a:endParaRPr lang="en-IN" sz="900" b="1" i="0" u="none">
            <a:latin typeface="Californian FB" panose="0207040306080B030204" pitchFamily="18" charset="0"/>
          </a:endParaRPr>
        </a:p>
      </xdr:txBody>
    </xdr:sp>
    <xdr:clientData/>
  </xdr:twoCellAnchor>
  <xdr:twoCellAnchor editAs="absolute">
    <xdr:from>
      <xdr:col>1</xdr:col>
      <xdr:colOff>397932</xdr:colOff>
      <xdr:row>2</xdr:row>
      <xdr:rowOff>156631</xdr:rowOff>
    </xdr:from>
    <xdr:to>
      <xdr:col>3</xdr:col>
      <xdr:colOff>215899</xdr:colOff>
      <xdr:row>4</xdr:row>
      <xdr:rowOff>1</xdr:rowOff>
    </xdr:to>
    <xdr:sp macro="" textlink="'PIVOT REPORT ANALYSIS'!A5">
      <xdr:nvSpPr>
        <xdr:cNvPr id="22" name="TextBox 21">
          <a:extLst>
            <a:ext uri="{FF2B5EF4-FFF2-40B4-BE49-F238E27FC236}">
              <a16:creationId xmlns:a16="http://schemas.microsoft.com/office/drawing/2014/main" id="{5667E7E1-B8DC-B775-C287-ABC849564D8D}"/>
            </a:ext>
          </a:extLst>
        </xdr:cNvPr>
        <xdr:cNvSpPr txBox="1"/>
      </xdr:nvSpPr>
      <xdr:spPr>
        <a:xfrm>
          <a:off x="1007532" y="520698"/>
          <a:ext cx="1037167" cy="207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9799427-1B23-4445-99C4-BD5624359104}" type="TxLink">
            <a:rPr lang="en-US" sz="1050" b="0" i="0" u="none" strike="noStrike">
              <a:solidFill>
                <a:srgbClr val="000000"/>
              </a:solidFill>
              <a:latin typeface="Calibri"/>
              <a:ea typeface="Calibri"/>
              <a:cs typeface="Calibri"/>
            </a:rPr>
            <a:t>431</a:t>
          </a:fld>
          <a:endParaRPr lang="en-IN" sz="600" b="1" i="0" u="none">
            <a:latin typeface="+mn-lt"/>
          </a:endParaRPr>
        </a:p>
      </xdr:txBody>
    </xdr:sp>
    <xdr:clientData/>
  </xdr:twoCellAnchor>
  <xdr:twoCellAnchor editAs="absolute">
    <xdr:from>
      <xdr:col>1</xdr:col>
      <xdr:colOff>397932</xdr:colOff>
      <xdr:row>3</xdr:row>
      <xdr:rowOff>165098</xdr:rowOff>
    </xdr:from>
    <xdr:to>
      <xdr:col>3</xdr:col>
      <xdr:colOff>215899</xdr:colOff>
      <xdr:row>5</xdr:row>
      <xdr:rowOff>8467</xdr:rowOff>
    </xdr:to>
    <xdr:sp macro="" textlink="'PIVOT REPORT ANALYSIS'!A5">
      <xdr:nvSpPr>
        <xdr:cNvPr id="23" name="TextBox 22">
          <a:extLst>
            <a:ext uri="{FF2B5EF4-FFF2-40B4-BE49-F238E27FC236}">
              <a16:creationId xmlns:a16="http://schemas.microsoft.com/office/drawing/2014/main" id="{EE899CE6-F92B-7C6F-B59B-E78D1B9C8926}"/>
            </a:ext>
          </a:extLst>
        </xdr:cNvPr>
        <xdr:cNvSpPr txBox="1"/>
      </xdr:nvSpPr>
      <xdr:spPr>
        <a:xfrm>
          <a:off x="1007532" y="711198"/>
          <a:ext cx="1037167" cy="207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600" b="1" i="0" u="none">
              <a:latin typeface="+mn-lt"/>
            </a:rPr>
            <a:t>No.</a:t>
          </a:r>
          <a:r>
            <a:rPr lang="en-IN" sz="600" b="1" i="0" u="none" baseline="0">
              <a:latin typeface="+mn-lt"/>
            </a:rPr>
            <a:t> Of Patients</a:t>
          </a:r>
          <a:endParaRPr lang="en-IN" sz="600" b="1" i="0" u="none">
            <a:latin typeface="+mn-lt"/>
          </a:endParaRPr>
        </a:p>
      </xdr:txBody>
    </xdr:sp>
    <xdr:clientData/>
  </xdr:twoCellAnchor>
  <xdr:twoCellAnchor editAs="absolute">
    <xdr:from>
      <xdr:col>3</xdr:col>
      <xdr:colOff>287866</xdr:colOff>
      <xdr:row>2</xdr:row>
      <xdr:rowOff>156631</xdr:rowOff>
    </xdr:from>
    <xdr:to>
      <xdr:col>5</xdr:col>
      <xdr:colOff>105833</xdr:colOff>
      <xdr:row>4</xdr:row>
      <xdr:rowOff>1</xdr:rowOff>
    </xdr:to>
    <xdr:sp macro="" textlink="'PIVOT REPORT ANALYSIS'!A9">
      <xdr:nvSpPr>
        <xdr:cNvPr id="24" name="TextBox 23">
          <a:extLst>
            <a:ext uri="{FF2B5EF4-FFF2-40B4-BE49-F238E27FC236}">
              <a16:creationId xmlns:a16="http://schemas.microsoft.com/office/drawing/2014/main" id="{313D5227-13EC-A844-D78B-1B9FE2E13D11}"/>
            </a:ext>
          </a:extLst>
        </xdr:cNvPr>
        <xdr:cNvSpPr txBox="1"/>
      </xdr:nvSpPr>
      <xdr:spPr>
        <a:xfrm>
          <a:off x="2116666" y="520698"/>
          <a:ext cx="1037167" cy="207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5678146-F298-4D88-86B1-1E81E1580548}" type="TxLink">
            <a:rPr lang="en-US" sz="1100" b="0" i="0" u="none" strike="noStrike">
              <a:solidFill>
                <a:srgbClr val="000000"/>
              </a:solidFill>
              <a:latin typeface="Calibri"/>
              <a:ea typeface="Calibri"/>
              <a:cs typeface="Calibri"/>
            </a:rPr>
            <a:t>36.67</a:t>
          </a:fld>
          <a:endParaRPr lang="en-IN" sz="600" b="1" i="0" u="none">
            <a:latin typeface="+mn-lt"/>
          </a:endParaRPr>
        </a:p>
      </xdr:txBody>
    </xdr:sp>
    <xdr:clientData/>
  </xdr:twoCellAnchor>
  <xdr:twoCellAnchor editAs="absolute">
    <xdr:from>
      <xdr:col>3</xdr:col>
      <xdr:colOff>287866</xdr:colOff>
      <xdr:row>3</xdr:row>
      <xdr:rowOff>165098</xdr:rowOff>
    </xdr:from>
    <xdr:to>
      <xdr:col>5</xdr:col>
      <xdr:colOff>105833</xdr:colOff>
      <xdr:row>5</xdr:row>
      <xdr:rowOff>8467</xdr:rowOff>
    </xdr:to>
    <xdr:sp macro="" textlink="'PIVOT REPORT ANALYSIS'!G15">
      <xdr:nvSpPr>
        <xdr:cNvPr id="25" name="TextBox 24">
          <a:extLst>
            <a:ext uri="{FF2B5EF4-FFF2-40B4-BE49-F238E27FC236}">
              <a16:creationId xmlns:a16="http://schemas.microsoft.com/office/drawing/2014/main" id="{87751602-448B-3C29-E092-ACC4BC04EEF2}"/>
            </a:ext>
          </a:extLst>
        </xdr:cNvPr>
        <xdr:cNvSpPr txBox="1"/>
      </xdr:nvSpPr>
      <xdr:spPr>
        <a:xfrm>
          <a:off x="2116666" y="711198"/>
          <a:ext cx="1037167" cy="207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600" b="1" i="0" u="none">
              <a:latin typeface="+mn-lt"/>
            </a:rPr>
            <a:t>Average</a:t>
          </a:r>
          <a:r>
            <a:rPr lang="en-IN" sz="600" b="1" i="0" u="none" baseline="0">
              <a:latin typeface="+mn-lt"/>
            </a:rPr>
            <a:t> Wait Time</a:t>
          </a:r>
        </a:p>
      </xdr:txBody>
    </xdr:sp>
    <xdr:clientData/>
  </xdr:twoCellAnchor>
  <xdr:twoCellAnchor editAs="absolute">
    <xdr:from>
      <xdr:col>5</xdr:col>
      <xdr:colOff>182033</xdr:colOff>
      <xdr:row>2</xdr:row>
      <xdr:rowOff>156631</xdr:rowOff>
    </xdr:from>
    <xdr:to>
      <xdr:col>7</xdr:col>
      <xdr:colOff>0</xdr:colOff>
      <xdr:row>4</xdr:row>
      <xdr:rowOff>1</xdr:rowOff>
    </xdr:to>
    <xdr:sp macro="" textlink="'PIVOT REPORT ANALYSIS'!A13">
      <xdr:nvSpPr>
        <xdr:cNvPr id="26" name="TextBox 25">
          <a:extLst>
            <a:ext uri="{FF2B5EF4-FFF2-40B4-BE49-F238E27FC236}">
              <a16:creationId xmlns:a16="http://schemas.microsoft.com/office/drawing/2014/main" id="{5DD4837C-273A-997F-48A1-DA0E8F80CA38}"/>
            </a:ext>
          </a:extLst>
        </xdr:cNvPr>
        <xdr:cNvSpPr txBox="1"/>
      </xdr:nvSpPr>
      <xdr:spPr>
        <a:xfrm>
          <a:off x="3230033" y="520698"/>
          <a:ext cx="1037167" cy="207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95BC1A8-BC2E-42F6-9BB7-BD320C1C08A9}" type="TxLink">
            <a:rPr lang="en-US" sz="1100" b="0" i="0" u="none" strike="noStrike">
              <a:solidFill>
                <a:srgbClr val="000000"/>
              </a:solidFill>
              <a:latin typeface="Calibri"/>
              <a:ea typeface="Calibri"/>
              <a:cs typeface="Calibri"/>
            </a:rPr>
            <a:t>4.72</a:t>
          </a:fld>
          <a:endParaRPr lang="en-IN" sz="600" b="1" i="0" u="none">
            <a:latin typeface="+mn-lt"/>
          </a:endParaRPr>
        </a:p>
      </xdr:txBody>
    </xdr:sp>
    <xdr:clientData/>
  </xdr:twoCellAnchor>
  <xdr:twoCellAnchor editAs="absolute">
    <xdr:from>
      <xdr:col>5</xdr:col>
      <xdr:colOff>182033</xdr:colOff>
      <xdr:row>3</xdr:row>
      <xdr:rowOff>165098</xdr:rowOff>
    </xdr:from>
    <xdr:to>
      <xdr:col>7</xdr:col>
      <xdr:colOff>0</xdr:colOff>
      <xdr:row>5</xdr:row>
      <xdr:rowOff>8467</xdr:rowOff>
    </xdr:to>
    <xdr:sp macro="" textlink="'PIVOT REPORT ANALYSIS'!G15">
      <xdr:nvSpPr>
        <xdr:cNvPr id="27" name="TextBox 26">
          <a:extLst>
            <a:ext uri="{FF2B5EF4-FFF2-40B4-BE49-F238E27FC236}">
              <a16:creationId xmlns:a16="http://schemas.microsoft.com/office/drawing/2014/main" id="{25F76B15-AFB9-9E18-5ACA-25FFCD5BEB44}"/>
            </a:ext>
          </a:extLst>
        </xdr:cNvPr>
        <xdr:cNvSpPr txBox="1"/>
      </xdr:nvSpPr>
      <xdr:spPr>
        <a:xfrm>
          <a:off x="3230033" y="711198"/>
          <a:ext cx="1037167" cy="207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600" b="1" i="0" u="none">
              <a:latin typeface="+mn-lt"/>
            </a:rPr>
            <a:t>Patient's</a:t>
          </a:r>
          <a:r>
            <a:rPr lang="en-IN" sz="600" b="1" i="0" u="none" baseline="0">
              <a:latin typeface="+mn-lt"/>
            </a:rPr>
            <a:t> </a:t>
          </a:r>
          <a:r>
            <a:rPr lang="en-IN" sz="600" b="1" i="0" u="none">
              <a:latin typeface="+mn-lt"/>
            </a:rPr>
            <a:t>Satisfaction</a:t>
          </a:r>
          <a:r>
            <a:rPr lang="en-IN" sz="600" b="1" i="0" u="none" baseline="0">
              <a:latin typeface="+mn-lt"/>
            </a:rPr>
            <a:t> Score</a:t>
          </a:r>
          <a:endParaRPr lang="en-IN" sz="600" b="1" i="0" u="none">
            <a:latin typeface="+mn-lt"/>
          </a:endParaRPr>
        </a:p>
      </xdr:txBody>
    </xdr:sp>
    <xdr:clientData/>
  </xdr:twoCellAnchor>
  <xdr:twoCellAnchor editAs="oneCell">
    <xdr:from>
      <xdr:col>2</xdr:col>
      <xdr:colOff>529167</xdr:colOff>
      <xdr:row>2</xdr:row>
      <xdr:rowOff>101600</xdr:rowOff>
    </xdr:from>
    <xdr:to>
      <xdr:col>3</xdr:col>
      <xdr:colOff>194733</xdr:colOff>
      <xdr:row>4</xdr:row>
      <xdr:rowOff>12700</xdr:rowOff>
    </xdr:to>
    <xdr:pic>
      <xdr:nvPicPr>
        <xdr:cNvPr id="29" name="Graphic 28" descr="Users with solid fill">
          <a:extLst>
            <a:ext uri="{FF2B5EF4-FFF2-40B4-BE49-F238E27FC236}">
              <a16:creationId xmlns:a16="http://schemas.microsoft.com/office/drawing/2014/main" id="{AC13E88C-AFD3-FA4B-0624-F8BE722164B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48367" y="465667"/>
          <a:ext cx="275166" cy="275166"/>
        </a:xfrm>
        <a:prstGeom prst="rect">
          <a:avLst/>
        </a:prstGeom>
      </xdr:spPr>
    </xdr:pic>
    <xdr:clientData/>
  </xdr:twoCellAnchor>
  <xdr:twoCellAnchor editAs="oneCell">
    <xdr:from>
      <xdr:col>4</xdr:col>
      <xdr:colOff>512233</xdr:colOff>
      <xdr:row>2</xdr:row>
      <xdr:rowOff>135466</xdr:rowOff>
    </xdr:from>
    <xdr:to>
      <xdr:col>5</xdr:col>
      <xdr:colOff>101600</xdr:colOff>
      <xdr:row>3</xdr:row>
      <xdr:rowOff>152400</xdr:rowOff>
    </xdr:to>
    <xdr:pic>
      <xdr:nvPicPr>
        <xdr:cNvPr id="31" name="Graphic 30" descr="Hourglass Finished with solid fill">
          <a:extLst>
            <a:ext uri="{FF2B5EF4-FFF2-40B4-BE49-F238E27FC236}">
              <a16:creationId xmlns:a16="http://schemas.microsoft.com/office/drawing/2014/main" id="{165058C9-018F-C106-6313-9F718C7F81C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50633" y="499533"/>
          <a:ext cx="198967" cy="198967"/>
        </a:xfrm>
        <a:prstGeom prst="rect">
          <a:avLst/>
        </a:prstGeom>
      </xdr:spPr>
    </xdr:pic>
    <xdr:clientData/>
  </xdr:twoCellAnchor>
  <xdr:twoCellAnchor editAs="oneCell">
    <xdr:from>
      <xdr:col>6</xdr:col>
      <xdr:colOff>328355</xdr:colOff>
      <xdr:row>2</xdr:row>
      <xdr:rowOff>122769</xdr:rowOff>
    </xdr:from>
    <xdr:to>
      <xdr:col>6</xdr:col>
      <xdr:colOff>568678</xdr:colOff>
      <xdr:row>3</xdr:row>
      <xdr:rowOff>169334</xdr:rowOff>
    </xdr:to>
    <xdr:pic>
      <xdr:nvPicPr>
        <xdr:cNvPr id="33" name="Graphic 32" descr="Checklist with solid fill">
          <a:extLst>
            <a:ext uri="{FF2B5EF4-FFF2-40B4-BE49-F238E27FC236}">
              <a16:creationId xmlns:a16="http://schemas.microsoft.com/office/drawing/2014/main" id="{118EAED1-122A-F04C-1234-CE76A69FA18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985955" y="486836"/>
          <a:ext cx="240323" cy="228598"/>
        </a:xfrm>
        <a:prstGeom prst="rect">
          <a:avLst/>
        </a:prstGeom>
      </xdr:spPr>
    </xdr:pic>
    <xdr:clientData/>
  </xdr:twoCellAnchor>
  <xdr:twoCellAnchor editAs="oneCell">
    <xdr:from>
      <xdr:col>0</xdr:col>
      <xdr:colOff>63500</xdr:colOff>
      <xdr:row>3</xdr:row>
      <xdr:rowOff>1</xdr:rowOff>
    </xdr:from>
    <xdr:to>
      <xdr:col>1</xdr:col>
      <xdr:colOff>302900</xdr:colOff>
      <xdr:row>15</xdr:row>
      <xdr:rowOff>29634</xdr:rowOff>
    </xdr:to>
    <mc:AlternateContent xmlns:mc="http://schemas.openxmlformats.org/markup-compatibility/2006">
      <mc:Choice xmlns:a14="http://schemas.microsoft.com/office/drawing/2010/main" Requires="a14">
        <xdr:graphicFrame macro="">
          <xdr:nvGraphicFramePr>
            <xdr:cNvPr id="34" name="Date (Month)">
              <a:extLst>
                <a:ext uri="{FF2B5EF4-FFF2-40B4-BE49-F238E27FC236}">
                  <a16:creationId xmlns:a16="http://schemas.microsoft.com/office/drawing/2014/main" id="{77D49ECE-74DC-4EED-BC7D-514973F3961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63500" y="551330"/>
              <a:ext cx="849000" cy="2234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398297</xdr:colOff>
      <xdr:row>2</xdr:row>
      <xdr:rowOff>148651</xdr:rowOff>
    </xdr:from>
    <xdr:to>
      <xdr:col>3</xdr:col>
      <xdr:colOff>215900</xdr:colOff>
      <xdr:row>6</xdr:row>
      <xdr:rowOff>46567</xdr:rowOff>
    </xdr:to>
    <xdr:graphicFrame macro="">
      <xdr:nvGraphicFramePr>
        <xdr:cNvPr id="35" name="Chart 34">
          <a:extLst>
            <a:ext uri="{FF2B5EF4-FFF2-40B4-BE49-F238E27FC236}">
              <a16:creationId xmlns:a16="http://schemas.microsoft.com/office/drawing/2014/main" id="{EA39D28A-87F5-4F40-90FE-1481176C6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292101</xdr:colOff>
      <xdr:row>1</xdr:row>
      <xdr:rowOff>140447</xdr:rowOff>
    </xdr:from>
    <xdr:to>
      <xdr:col>5</xdr:col>
      <xdr:colOff>110067</xdr:colOff>
      <xdr:row>6</xdr:row>
      <xdr:rowOff>51548</xdr:rowOff>
    </xdr:to>
    <xdr:graphicFrame macro="">
      <xdr:nvGraphicFramePr>
        <xdr:cNvPr id="37" name="Chart 36">
          <a:extLst>
            <a:ext uri="{FF2B5EF4-FFF2-40B4-BE49-F238E27FC236}">
              <a16:creationId xmlns:a16="http://schemas.microsoft.com/office/drawing/2014/main" id="{AF26997E-190C-4DDE-AB54-023A1807A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183775</xdr:colOff>
      <xdr:row>0</xdr:row>
      <xdr:rowOff>156882</xdr:rowOff>
    </xdr:from>
    <xdr:to>
      <xdr:col>7</xdr:col>
      <xdr:colOff>0</xdr:colOff>
      <xdr:row>6</xdr:row>
      <xdr:rowOff>47065</xdr:rowOff>
    </xdr:to>
    <xdr:graphicFrame macro="">
      <xdr:nvGraphicFramePr>
        <xdr:cNvPr id="38" name="Chart 37">
          <a:extLst>
            <a:ext uri="{FF2B5EF4-FFF2-40B4-BE49-F238E27FC236}">
              <a16:creationId xmlns:a16="http://schemas.microsoft.com/office/drawing/2014/main" id="{0EDB78DC-0474-4CBF-906D-7F0797B7E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394447</xdr:colOff>
          <xdr:row>6</xdr:row>
          <xdr:rowOff>71717</xdr:rowOff>
        </xdr:from>
        <xdr:to>
          <xdr:col>7</xdr:col>
          <xdr:colOff>13447</xdr:colOff>
          <xdr:row>8</xdr:row>
          <xdr:rowOff>143435</xdr:rowOff>
        </xdr:to>
        <xdr:pic>
          <xdr:nvPicPr>
            <xdr:cNvPr id="47" name="Picture 46">
              <a:extLst>
                <a:ext uri="{FF2B5EF4-FFF2-40B4-BE49-F238E27FC236}">
                  <a16:creationId xmlns:a16="http://schemas.microsoft.com/office/drawing/2014/main" id="{E2AB5520-B4D7-DF82-2E59-4DF392D31F63}"/>
                </a:ext>
              </a:extLst>
            </xdr:cNvPr>
            <xdr:cNvPicPr>
              <a:picLocks noChangeAspect="1" noChangeArrowheads="1"/>
              <a:extLst>
                <a:ext uri="{84589F7E-364E-4C9E-8A38-B11213B215E9}">
                  <a14:cameraTool cellRange="'PIVOT REPORT ANALYSIS'!$A$46:$D$48" spid="_x0000_s2067"/>
                </a:ext>
              </a:extLst>
            </xdr:cNvPicPr>
          </xdr:nvPicPr>
          <xdr:blipFill>
            <a:blip xmlns:r="http://schemas.openxmlformats.org/officeDocument/2006/relationships" r:embed="rId10"/>
            <a:srcRect/>
            <a:stretch>
              <a:fillRect/>
            </a:stretch>
          </xdr:blipFill>
          <xdr:spPr bwMode="auto">
            <a:xfrm>
              <a:off x="1004047" y="1174376"/>
              <a:ext cx="3276600" cy="439271"/>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389965</xdr:colOff>
      <xdr:row>8</xdr:row>
      <xdr:rowOff>183775</xdr:rowOff>
    </xdr:from>
    <xdr:to>
      <xdr:col>7</xdr:col>
      <xdr:colOff>4482</xdr:colOff>
      <xdr:row>15</xdr:row>
      <xdr:rowOff>80681</xdr:rowOff>
    </xdr:to>
    <xdr:graphicFrame macro="">
      <xdr:nvGraphicFramePr>
        <xdr:cNvPr id="48" name="Chart 47">
          <a:extLst>
            <a:ext uri="{FF2B5EF4-FFF2-40B4-BE49-F238E27FC236}">
              <a16:creationId xmlns:a16="http://schemas.microsoft.com/office/drawing/2014/main" id="{C035BB48-9120-4DFB-830C-DC0846A56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62753</xdr:colOff>
      <xdr:row>0</xdr:row>
      <xdr:rowOff>22412</xdr:rowOff>
    </xdr:from>
    <xdr:to>
      <xdr:col>9</xdr:col>
      <xdr:colOff>26894</xdr:colOff>
      <xdr:row>7</xdr:row>
      <xdr:rowOff>89647</xdr:rowOff>
    </xdr:to>
    <xdr:graphicFrame macro="">
      <xdr:nvGraphicFramePr>
        <xdr:cNvPr id="49" name="Chart 48">
          <a:extLst>
            <a:ext uri="{FF2B5EF4-FFF2-40B4-BE49-F238E27FC236}">
              <a16:creationId xmlns:a16="http://schemas.microsoft.com/office/drawing/2014/main" id="{9A64CED5-547B-4860-B592-C73556541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7</xdr:col>
      <xdr:colOff>58271</xdr:colOff>
      <xdr:row>6</xdr:row>
      <xdr:rowOff>61009</xdr:rowOff>
    </xdr:from>
    <xdr:to>
      <xdr:col>9</xdr:col>
      <xdr:colOff>35859</xdr:colOff>
      <xdr:row>7</xdr:row>
      <xdr:rowOff>147919</xdr:rowOff>
    </xdr:to>
    <xdr:sp macro="" textlink="">
      <xdr:nvSpPr>
        <xdr:cNvPr id="50" name="TextBox 49">
          <a:extLst>
            <a:ext uri="{FF2B5EF4-FFF2-40B4-BE49-F238E27FC236}">
              <a16:creationId xmlns:a16="http://schemas.microsoft.com/office/drawing/2014/main" id="{195A8B94-F187-E73C-15D5-F07E979B79CD}"/>
            </a:ext>
          </a:extLst>
        </xdr:cNvPr>
        <xdr:cNvSpPr txBox="1"/>
      </xdr:nvSpPr>
      <xdr:spPr>
        <a:xfrm>
          <a:off x="4325471" y="1163668"/>
          <a:ext cx="1196788" cy="270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700" b="1" i="0" u="none">
              <a:latin typeface="Californian FB" panose="0207040306080B030204" pitchFamily="18" charset="0"/>
            </a:rPr>
            <a:t>Patient</a:t>
          </a:r>
          <a:r>
            <a:rPr lang="en-IN" sz="700" b="1" i="0" u="none" baseline="0">
              <a:latin typeface="Californian FB" panose="0207040306080B030204" pitchFamily="18" charset="0"/>
            </a:rPr>
            <a:t> Attend Status</a:t>
          </a:r>
          <a:endParaRPr lang="en-IN" sz="700" b="1" i="0" u="none">
            <a:latin typeface="Californian FB" panose="0207040306080B030204" pitchFamily="18" charset="0"/>
          </a:endParaRPr>
        </a:p>
      </xdr:txBody>
    </xdr:sp>
    <xdr:clientData/>
  </xdr:twoCellAnchor>
  <xdr:twoCellAnchor>
    <xdr:from>
      <xdr:col>9</xdr:col>
      <xdr:colOff>76199</xdr:colOff>
      <xdr:row>0</xdr:row>
      <xdr:rowOff>22412</xdr:rowOff>
    </xdr:from>
    <xdr:to>
      <xdr:col>11</xdr:col>
      <xdr:colOff>44824</xdr:colOff>
      <xdr:row>7</xdr:row>
      <xdr:rowOff>94130</xdr:rowOff>
    </xdr:to>
    <xdr:graphicFrame macro="">
      <xdr:nvGraphicFramePr>
        <xdr:cNvPr id="51" name="Chart 50">
          <a:extLst>
            <a:ext uri="{FF2B5EF4-FFF2-40B4-BE49-F238E27FC236}">
              <a16:creationId xmlns:a16="http://schemas.microsoft.com/office/drawing/2014/main" id="{0AB4FDAD-B7BE-4B93-A2B9-5977DC398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9</xdr:col>
      <xdr:colOff>71718</xdr:colOff>
      <xdr:row>6</xdr:row>
      <xdr:rowOff>61009</xdr:rowOff>
    </xdr:from>
    <xdr:to>
      <xdr:col>11</xdr:col>
      <xdr:colOff>49306</xdr:colOff>
      <xdr:row>7</xdr:row>
      <xdr:rowOff>147919</xdr:rowOff>
    </xdr:to>
    <xdr:sp macro="" textlink="">
      <xdr:nvSpPr>
        <xdr:cNvPr id="52" name="TextBox 51">
          <a:extLst>
            <a:ext uri="{FF2B5EF4-FFF2-40B4-BE49-F238E27FC236}">
              <a16:creationId xmlns:a16="http://schemas.microsoft.com/office/drawing/2014/main" id="{D45579B0-7AD5-6550-1CC7-B89341140F5C}"/>
            </a:ext>
          </a:extLst>
        </xdr:cNvPr>
        <xdr:cNvSpPr txBox="1"/>
      </xdr:nvSpPr>
      <xdr:spPr>
        <a:xfrm>
          <a:off x="5558118" y="1163668"/>
          <a:ext cx="1196788" cy="270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700" b="1" i="0" u="none">
              <a:latin typeface="Californian FB" panose="0207040306080B030204" pitchFamily="18" charset="0"/>
            </a:rPr>
            <a:t>Gender</a:t>
          </a:r>
          <a:r>
            <a:rPr lang="en-IN" sz="700" b="1" i="0" u="none" baseline="0">
              <a:latin typeface="Californian FB" panose="0207040306080B030204" pitchFamily="18" charset="0"/>
            </a:rPr>
            <a:t> Wise Analysis</a:t>
          </a:r>
          <a:endParaRPr lang="en-IN" sz="700" b="1" i="0" u="none">
            <a:latin typeface="Californian FB" panose="0207040306080B030204" pitchFamily="18" charset="0"/>
          </a:endParaRPr>
        </a:p>
      </xdr:txBody>
    </xdr:sp>
    <xdr:clientData/>
  </xdr:twoCellAnchor>
  <xdr:twoCellAnchor>
    <xdr:from>
      <xdr:col>7</xdr:col>
      <xdr:colOff>58270</xdr:colOff>
      <xdr:row>7</xdr:row>
      <xdr:rowOff>152400</xdr:rowOff>
    </xdr:from>
    <xdr:to>
      <xdr:col>11</xdr:col>
      <xdr:colOff>44824</xdr:colOff>
      <xdr:row>15</xdr:row>
      <xdr:rowOff>80682</xdr:rowOff>
    </xdr:to>
    <xdr:graphicFrame macro="">
      <xdr:nvGraphicFramePr>
        <xdr:cNvPr id="53" name="Chart 52">
          <a:extLst>
            <a:ext uri="{FF2B5EF4-FFF2-40B4-BE49-F238E27FC236}">
              <a16:creationId xmlns:a16="http://schemas.microsoft.com/office/drawing/2014/main" id="{DF6039DB-FD62-4AA6-B758-3CEB62F0F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7</xdr:col>
      <xdr:colOff>62753</xdr:colOff>
      <xdr:row>14</xdr:row>
      <xdr:rowOff>4482</xdr:rowOff>
    </xdr:from>
    <xdr:to>
      <xdr:col>11</xdr:col>
      <xdr:colOff>44823</xdr:colOff>
      <xdr:row>15</xdr:row>
      <xdr:rowOff>80681</xdr:rowOff>
    </xdr:to>
    <xdr:sp macro="" textlink="">
      <xdr:nvSpPr>
        <xdr:cNvPr id="54" name="TextBox 53">
          <a:extLst>
            <a:ext uri="{FF2B5EF4-FFF2-40B4-BE49-F238E27FC236}">
              <a16:creationId xmlns:a16="http://schemas.microsoft.com/office/drawing/2014/main" id="{0A37FF3A-B1AA-C6C1-B447-173AA014C3D6}"/>
            </a:ext>
          </a:extLst>
        </xdr:cNvPr>
        <xdr:cNvSpPr txBox="1"/>
      </xdr:nvSpPr>
      <xdr:spPr>
        <a:xfrm>
          <a:off x="4329953" y="2577353"/>
          <a:ext cx="2420470" cy="259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700" b="1" i="0" u="none">
              <a:latin typeface="Californian FB" panose="0207040306080B030204" pitchFamily="18" charset="0"/>
            </a:rPr>
            <a:t>Number</a:t>
          </a:r>
          <a:r>
            <a:rPr lang="en-IN" sz="700" b="1" i="0" u="none" baseline="0">
              <a:latin typeface="Californian FB" panose="0207040306080B030204" pitchFamily="18" charset="0"/>
            </a:rPr>
            <a:t> Of Patient By </a:t>
          </a:r>
          <a:r>
            <a:rPr lang="en-IN" sz="700" b="1" i="0" u="none" baseline="0">
              <a:latin typeface="+mn-lt"/>
            </a:rPr>
            <a:t>Department</a:t>
          </a:r>
          <a:endParaRPr lang="en-IN" sz="700" b="1" i="0" u="none">
            <a:latin typeface="+mn-lt"/>
          </a:endParaRPr>
        </a:p>
      </xdr:txBody>
    </xdr:sp>
    <xdr:clientData/>
  </xdr:twoCellAnchor>
  <xdr:twoCellAnchor editAs="oneCell">
    <xdr:from>
      <xdr:col>5</xdr:col>
      <xdr:colOff>143434</xdr:colOff>
      <xdr:row>0</xdr:row>
      <xdr:rowOff>58271</xdr:rowOff>
    </xdr:from>
    <xdr:to>
      <xdr:col>7</xdr:col>
      <xdr:colOff>40234</xdr:colOff>
      <xdr:row>2</xdr:row>
      <xdr:rowOff>50718</xdr:rowOff>
    </xdr:to>
    <mc:AlternateContent xmlns:mc="http://schemas.openxmlformats.org/markup-compatibility/2006">
      <mc:Choice xmlns:a14="http://schemas.microsoft.com/office/drawing/2010/main" Requires="a14">
        <xdr:graphicFrame macro="">
          <xdr:nvGraphicFramePr>
            <xdr:cNvPr id="55" name="Date (Year)">
              <a:extLst>
                <a:ext uri="{FF2B5EF4-FFF2-40B4-BE49-F238E27FC236}">
                  <a16:creationId xmlns:a16="http://schemas.microsoft.com/office/drawing/2014/main" id="{C6BE83DF-6EE8-4E54-8975-4131F878694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191434" y="58271"/>
              <a:ext cx="1116000" cy="3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44823</xdr:colOff>
      <xdr:row>0</xdr:row>
      <xdr:rowOff>35860</xdr:rowOff>
    </xdr:from>
    <xdr:to>
      <xdr:col>0</xdr:col>
      <xdr:colOff>519951</xdr:colOff>
      <xdr:row>2</xdr:row>
      <xdr:rowOff>58271</xdr:rowOff>
    </xdr:to>
    <xdr:pic>
      <xdr:nvPicPr>
        <xdr:cNvPr id="63" name="Picture 62">
          <a:extLst>
            <a:ext uri="{FF2B5EF4-FFF2-40B4-BE49-F238E27FC236}">
              <a16:creationId xmlns:a16="http://schemas.microsoft.com/office/drawing/2014/main" id="{E15FD60D-3D43-08D7-580F-C801877EA73F}"/>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44823" y="35860"/>
          <a:ext cx="475128" cy="389964"/>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0.25205</cdr:x>
      <cdr:y>0.87046</cdr:y>
    </cdr:from>
    <cdr:to>
      <cdr:x>0.67808</cdr:x>
      <cdr:y>0.95833</cdr:y>
    </cdr:to>
    <cdr:sp macro="" textlink="">
      <cdr:nvSpPr>
        <cdr:cNvPr id="2" name="TextBox 1">
          <a:extLst xmlns:a="http://schemas.openxmlformats.org/drawingml/2006/main">
            <a:ext uri="{FF2B5EF4-FFF2-40B4-BE49-F238E27FC236}">
              <a16:creationId xmlns:a16="http://schemas.microsoft.com/office/drawing/2014/main" id="{4DDD7AF8-5245-6618-7BFD-234DCA53B9B2}"/>
            </a:ext>
          </a:extLst>
        </cdr:cNvPr>
        <cdr:cNvSpPr txBox="1"/>
      </cdr:nvSpPr>
      <cdr:spPr>
        <a:xfrm xmlns:a="http://schemas.openxmlformats.org/drawingml/2006/main">
          <a:off x="824753" y="1030046"/>
          <a:ext cx="1394011" cy="10399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0.26027</cdr:x>
      <cdr:y>0.875</cdr:y>
    </cdr:from>
    <cdr:to>
      <cdr:x>0.7</cdr:x>
      <cdr:y>0.96212</cdr:y>
    </cdr:to>
    <cdr:sp macro="" textlink="">
      <cdr:nvSpPr>
        <cdr:cNvPr id="3" name="TextBox 2">
          <a:extLst xmlns:a="http://schemas.openxmlformats.org/drawingml/2006/main">
            <a:ext uri="{FF2B5EF4-FFF2-40B4-BE49-F238E27FC236}">
              <a16:creationId xmlns:a16="http://schemas.microsoft.com/office/drawing/2014/main" id="{1A1DBBBE-6053-46EC-8327-72E70661FC47}"/>
            </a:ext>
          </a:extLst>
        </cdr:cNvPr>
        <cdr:cNvSpPr txBox="1"/>
      </cdr:nvSpPr>
      <cdr:spPr>
        <a:xfrm xmlns:a="http://schemas.openxmlformats.org/drawingml/2006/main">
          <a:off x="851647" y="1035424"/>
          <a:ext cx="1438835" cy="1030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cdr:x>
      <cdr:y>0.83712</cdr:y>
    </cdr:from>
    <cdr:to>
      <cdr:x>1</cdr:x>
      <cdr:y>0.99621</cdr:y>
    </cdr:to>
    <cdr:sp macro="" textlink="">
      <cdr:nvSpPr>
        <cdr:cNvPr id="4" name="TextBox 3">
          <a:extLst xmlns:a="http://schemas.openxmlformats.org/drawingml/2006/main">
            <a:ext uri="{FF2B5EF4-FFF2-40B4-BE49-F238E27FC236}">
              <a16:creationId xmlns:a16="http://schemas.microsoft.com/office/drawing/2014/main" id="{AFE16CA6-C810-DDAC-4664-93C35444607A}"/>
            </a:ext>
          </a:extLst>
        </cdr:cNvPr>
        <cdr:cNvSpPr txBox="1"/>
      </cdr:nvSpPr>
      <cdr:spPr>
        <a:xfrm xmlns:a="http://schemas.openxmlformats.org/drawingml/2006/main">
          <a:off x="0" y="990600"/>
          <a:ext cx="3272117" cy="18825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900" kern="1200">
              <a:latin typeface="Californian FB" panose="0207040306080B030204" pitchFamily="18" charset="0"/>
            </a:rPr>
            <a:t>Number </a:t>
          </a:r>
          <a:r>
            <a:rPr lang="en-IN" sz="900" kern="1200" baseline="0">
              <a:latin typeface="Californian FB" panose="0207040306080B030204" pitchFamily="18" charset="0"/>
            </a:rPr>
            <a:t> Of  Patient  By  Age  Group</a:t>
          </a:r>
          <a:endParaRPr lang="en-IN" sz="900" kern="1200">
            <a:latin typeface="Californian FB" panose="0207040306080B030204" pitchFamily="18" charset="0"/>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8.864487962965" createdVersion="5" refreshedVersion="8" minRefreshableVersion="3" recordCount="0" supportSubquery="1" supportAdvancedDrill="1" xr:uid="{AA40491A-D477-40DD-8D63-4E97D8DD7199}">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8.864488194442" createdVersion="5" refreshedVersion="8" minRefreshableVersion="3" recordCount="0" supportSubquery="1" supportAdvancedDrill="1" xr:uid="{E6B09BE3-E618-408F-8F4B-6E12438AAA91}">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8.864488425927" createdVersion="5" refreshedVersion="8" minRefreshableVersion="3" recordCount="0" supportSubquery="1" supportAdvancedDrill="1" xr:uid="{605A05FD-ACED-4894-BC7E-86D822F2FF77}">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8.864488541665" createdVersion="5" refreshedVersion="8" minRefreshableVersion="3" recordCount="0" supportSubquery="1" supportAdvancedDrill="1" xr:uid="{63111D9B-ACF3-4A76-A4AF-964385532E21}">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8.864489120373" createdVersion="5" refreshedVersion="8" minRefreshableVersion="3" recordCount="0" supportSubquery="1" supportAdvancedDrill="1" xr:uid="{65C91CCD-61FA-4807-8DA3-DE2ADFAE3C2D}">
  <cacheSource type="external" connectionId="3"/>
  <cacheFields count="4">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8.864489699074" createdVersion="5" refreshedVersion="8" minRefreshableVersion="3" recordCount="0" supportSubquery="1" supportAdvancedDrill="1" xr:uid="{261043D6-DA5F-4B4B-A4C2-386DA93B33F6}">
  <cacheSource type="external" connectionId="3"/>
  <cacheFields count="4">
    <cacheField name="[Calenda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8.864490162036" createdVersion="5" refreshedVersion="8" minRefreshableVersion="3" recordCount="0" supportSubquery="1" supportAdvancedDrill="1" xr:uid="{7CCAC2E2-3F01-471B-9CE1-12A730BF67B7}">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8.864490740743" createdVersion="5" refreshedVersion="8" minRefreshableVersion="3" recordCount="0" supportSubquery="1" supportAdvancedDrill="1" xr:uid="{7892E2F7-C899-4FCA-B5A7-0DB58D6E3820}">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8.864491319444" createdVersion="5" refreshedVersion="8" minRefreshableVersion="3" recordCount="0" supportSubquery="1" supportAdvancedDrill="1" xr:uid="{54123B66-EAC4-4536-B77D-861B7B788F9B}">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ing Status].[Patient Attending Status]" caption="Patient Attending Status" numFmtId="0" hierarchy="17" level="1">
      <sharedItems count="2">
        <s v="Delay"/>
        <s v="OnTime"/>
      </sharedItems>
    </cacheField>
    <cacheField name="[Measures].[Count of Patient Attending Status]" caption="Count of Patient Attending Status"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8.864491782406" createdVersion="5" refreshedVersion="8" minRefreshableVersion="3" recordCount="0" supportSubquery="1" supportAdvancedDrill="1" xr:uid="{3BB379DA-F64B-44C5-B4B7-1DFFA8EBF15A}">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8.864492361114" createdVersion="5" refreshedVersion="8" minRefreshableVersion="3" recordCount="0" supportSubquery="1" supportAdvancedDrill="1" xr:uid="{6D0B5036-0260-4644-878E-4E1FB9A8B64F}">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8.864492824076" createdVersion="5" refreshedVersion="8" minRefreshableVersion="3" recordCount="0" supportSubquery="1" supportAdvancedDrill="1" xr:uid="{A3647461-AD74-45AD-B440-A54B35CB1E94}">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8.85346875" createdVersion="3" refreshedVersion="8" minRefreshableVersion="3" recordCount="0" supportSubquery="1" supportAdvancedDrill="1" xr:uid="{85A28DA2-65E9-4728-A07A-3F309A4DE164}">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975764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0D17C1-B500-4918-8203-00337FE814F5}" name="PivotTable14" cacheId="2135" applyNumberFormats="0" applyBorderFormats="0" applyFontFormats="0" applyPatternFormats="0" applyAlignmentFormats="0" applyWidthHeightFormats="1" dataCaption="Values" tag="75cf653c-8120-48c6-b6d2-a99398a63fa2" updatedVersion="8" minRefreshableVersion="3" subtotalHiddenItems="1" itemPrintTitles="1" createdVersion="5" indent="0" outline="1" outlineData="1" multipleFieldFilters="0" chartFormat="22">
  <location ref="A87:A8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44">
      <pivotArea outline="0" collapsedLevelsAreSubtotals="1" fieldPosition="0"/>
    </format>
  </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9B5CAD-21AE-4129-9653-572121893B7A}" name="PivotTable13" cacheId="2132" applyNumberFormats="0" applyBorderFormats="0" applyFontFormats="0" applyPatternFormats="0" applyAlignmentFormats="0" applyWidthHeightFormats="1" dataCaption="Values" tag="886c4055-01d1-492c-a334-989bb8bfaad8" updatedVersion="8" minRefreshableVersion="3" subtotalHiddenItems="1" itemPrintTitles="1" createdVersion="5" indent="0" outline="1" outlineData="1" multipleFieldFilters="0" chartFormat="22">
  <location ref="A75:B8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3"/>
    </i>
    <i>
      <x v="1"/>
    </i>
    <i>
      <x v="7"/>
    </i>
    <i>
      <x/>
    </i>
    <i>
      <x v="6"/>
    </i>
    <i>
      <x v="5"/>
    </i>
    <i>
      <x v="2"/>
    </i>
    <i>
      <x v="4"/>
    </i>
    <i t="grand">
      <x/>
    </i>
  </rowItems>
  <colItems count="1">
    <i/>
  </colItems>
  <dataFields count="1">
    <dataField name="Count of Department Referral" fld="2" subtotal="count" baseField="0" baseItem="0"/>
  </dataFields>
  <formats count="2">
    <format dxfId="245">
      <pivotArea outline="0" collapsedLevelsAreSubtotals="1" fieldPosition="0"/>
    </format>
    <format dxfId="246">
      <pivotArea collapsedLevelsAreSubtotals="1" fieldPosition="0">
        <references count="1">
          <reference field="1" count="0"/>
        </references>
      </pivotArea>
    </format>
  </formats>
  <chartFormats count="2">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318F44-3339-4F03-92BC-770B5C4B16E3}" name="PivotTable12" cacheId="2129" applyNumberFormats="0" applyBorderFormats="0" applyFontFormats="0" applyPatternFormats="0" applyAlignmentFormats="0" applyWidthHeightFormats="1" dataCaption="Values" tag="4027b74e-21f5-4f28-addb-5fc32dc86196" updatedVersion="8" minRefreshableVersion="3" subtotalHiddenItems="1" itemPrintTitles="1" createdVersion="5" indent="0" outline="1" outlineData="1" multipleFieldFilters="0" chartFormat="18">
  <location ref="A69:B7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47">
      <pivotArea outline="0" collapsedLevelsAreSubtotals="1" fieldPosition="0"/>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183D55-C164-49C1-B669-5EDD459FE7BF}" name="PivotTable11" cacheId="2126" applyNumberFormats="0" applyBorderFormats="0" applyFontFormats="0" applyPatternFormats="0" applyAlignmentFormats="0" applyWidthHeightFormats="1" dataCaption="Values" tag="4d83dd37-86c0-42f7-a55d-bd415f5d0be3" updatedVersion="8" minRefreshableVersion="3" subtotalHiddenItems="1" itemPrintTitles="1" createdVersion="5" indent="0" outline="1" outlineData="1" multipleFieldFilters="0" chartFormat="13">
  <location ref="A63:B6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ing Status" fld="2" subtotal="count" baseField="0" baseItem="0"/>
  </dataFields>
  <formats count="2">
    <format dxfId="248">
      <pivotArea outline="0" collapsedLevelsAreSubtotals="1" fieldPosition="0"/>
    </format>
    <format dxfId="249">
      <pivotArea collapsedLevelsAreSubtotals="1" fieldPosition="0">
        <references count="1">
          <reference field="1" count="0"/>
        </references>
      </pivotArea>
    </format>
  </format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A80572-D0A1-45D7-85D1-D06F82CBCF9E}" name="PivotTable10" cacheId="2123" applyNumberFormats="0" applyBorderFormats="0" applyFontFormats="0" applyPatternFormats="0" applyAlignmentFormats="0" applyWidthHeightFormats="1" dataCaption="Values" tag="1a1e5be8-7bcc-4617-bc25-597620fa5f25" updatedVersion="8" minRefreshableVersion="3" subtotalHiddenItems="1" itemPrintTitles="1" createdVersion="5" indent="0" outline="1" outlineData="1" multipleFieldFilters="0" chartFormat="6">
  <location ref="A51:B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250">
      <pivotArea outline="0" collapsedLevelsAreSubtotals="1" fieldPosition="0"/>
    </format>
    <format dxfId="251">
      <pivotArea collapsedLevelsAreSubtotals="1" fieldPosition="0">
        <references count="1">
          <reference field="1" count="0"/>
        </references>
      </pivotArea>
    </format>
  </formats>
  <chartFormats count="1">
    <chartFormat chart="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8B618A-2A11-4B8C-88BC-3C985FC8E48F}" name="PivotTable9" cacheId="2120" applyNumberFormats="0" applyBorderFormats="0" applyFontFormats="0" applyPatternFormats="0" applyAlignmentFormats="0" applyWidthHeightFormats="1" dataCaption="Values" tag="42daccc0-3f8f-4b4f-8ee5-0b64d941d2c2" updatedVersion="8" minRefreshableVersion="3" subtotalHiddenItems="1" itemPrintTitles="1" createdVersion="5" indent="0" outline="1" outlineData="1" multipleFieldFilters="0" chartFormat="2">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252">
      <pivotArea outline="0" collapsedLevelsAreSubtotals="1" fieldPosition="0"/>
    </format>
    <format dxfId="253">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69C4B5-B788-474D-AB0A-2D21A04A1ECC}" name="PivotTable6" cacheId="2117" applyNumberFormats="0" applyBorderFormats="0" applyFontFormats="0" applyPatternFormats="0" applyAlignmentFormats="0" applyWidthHeightFormats="1" dataCaption="Values" tag="934493ed-81ff-4688-bebb-006aed0bcccb" updatedVersion="8" minRefreshableVersion="3" subtotalHiddenItems="1" itemPrintTitles="1" createdVersion="5" indent="0" outline="1" outlineData="1" multipleFieldFilters="0" chartFormat="15">
  <location ref="L4:M33"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dataFields>
  <formats count="1">
    <format dxfId="254">
      <pivotArea collapsedLevelsAreSubtotals="1" fieldPosition="0">
        <references count="1">
          <reference field="0" count="0"/>
        </references>
      </pivotArea>
    </format>
  </formats>
  <chartFormats count="1">
    <chartFormat chart="1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BF06DA-E6F4-4D86-A8F0-C3D73B822DAB}" name="PivotTable5" cacheId="2114" applyNumberFormats="0" applyBorderFormats="0" applyFontFormats="0" applyPatternFormats="0" applyAlignmentFormats="0" applyWidthHeightFormats="1" dataCaption="Values" tag="116d6e33-8b33-427f-9309-de3307d30847" updatedVersion="8" minRefreshableVersion="3" subtotalHiddenItems="1" itemPrintTitles="1" createdVersion="5" indent="0" outline="1" outlineData="1" multipleFieldFilters="0" chartFormat="11">
  <location ref="H4:I34"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1"/>
  </dataFields>
  <formats count="1">
    <format dxfId="255">
      <pivotArea collapsedLevelsAreSubtotals="1" fieldPosition="0">
        <references count="1">
          <reference field="0" count="0"/>
        </references>
      </pivotArea>
    </format>
  </formats>
  <chartFormats count="1">
    <chartFormat chart="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09C5DE-315F-4575-8B85-A99C4EE3CF56}" name="PivotTable4" cacheId="2102" applyNumberFormats="0" applyBorderFormats="0" applyFontFormats="0" applyPatternFormats="0" applyAlignmentFormats="0" applyWidthHeightFormats="1" dataCaption="Values" tag="d25b92ce-04c0-4045-ae09-a7f6e55c3d36" updatedVersion="8" minRefreshableVersion="3" subtotalHiddenItems="1" itemPrintTitles="1" createdVersion="5" indent="0" outline="1" outlineData="1" multipleFieldFilters="0" chartFormat="4">
  <location ref="C4:D34" firstHeaderRow="1" firstDataRow="1" firstDataCol="1"/>
  <pivotFields count="4">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1">
    <chartFormat chart="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5D7348-0AF4-42D5-9D88-497274FC35F1}" name="PivotTable3" cacheId="2111" applyNumberFormats="0" applyBorderFormats="0" applyFontFormats="0" applyPatternFormats="0" applyAlignmentFormats="0" applyWidthHeightFormats="1" dataCaption="Values" tag="d973e8ff-8beb-4220-8d15-34477f3f5719"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56">
      <pivotArea outline="0" collapsedLevelsAreSubtotals="1" fieldPosition="0"/>
    </format>
  </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AA389BF-A4DD-4494-8C82-6EE057983557}" name="PivotTable2" cacheId="2108" applyNumberFormats="0" applyBorderFormats="0" applyFontFormats="0" applyPatternFormats="0" applyAlignmentFormats="0" applyWidthHeightFormats="1" dataCaption="Values" tag="9cefff07-160b-41b1-8740-8d1d569c9a98"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57">
      <pivotArea outline="0" collapsedLevelsAreSubtotals="1" fieldPosition="0"/>
    </format>
  </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79081D9-6C2F-4FF0-A869-939B471119F9}" name="PivotTable1" cacheId="2105" applyNumberFormats="0" applyBorderFormats="0" applyFontFormats="0" applyPatternFormats="0" applyAlignmentFormats="0" applyWidthHeightFormats="1" dataCaption="Values" tag="80f84e92-11ad-4458-84a3-f3e7d456f3ed"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CB93A8C1-E373-40F6-B31A-52E7FC556724}"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9"/>
    <pivotTable tabId="1" name="PivotTable10"/>
    <pivotTable tabId="1" name="PivotTable11"/>
    <pivotTable tabId="1" name="PivotTable12"/>
    <pivotTable tabId="1" name="PivotTable13"/>
    <pivotTable tabId="1" name="PivotTable14"/>
  </pivotTables>
  <data>
    <olap pivotCacheId="397576459">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6B90C87-C44C-417A-BA53-1B3E7461D84B}" sourceName="[Calendar_Table].[Date (Year)]">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9"/>
  </pivotTables>
  <data>
    <olap pivotCacheId="397576459">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2396AD1-F5E4-46E3-B355-11BAD39231B9}" cache="Slicer_Date__Month" caption="Date (Month)" showCaption="0" level="1" style="SlicerStyleDark1" rowHeight="216000"/>
  <slicer name="Date (Year)" xr10:uid="{DBB364E2-84ED-4DD3-A5B4-1D09A30E77ED}" cache="Slicer_Date__Year" caption="Date (Year)" columnCount="2" showCaption="0" level="1" style="SlicerStyleDark1"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5C59A-0022-4A23-81FF-2B3F820812A5}">
  <dimension ref="A3:M89"/>
  <sheetViews>
    <sheetView topLeftCell="A72" zoomScale="106" workbookViewId="0">
      <selection activeCell="A87" sqref="A87"/>
    </sheetView>
  </sheetViews>
  <sheetFormatPr defaultRowHeight="14.4" x14ac:dyDescent="0.3"/>
  <cols>
    <col min="1" max="1" width="16.6640625" customWidth="1"/>
    <col min="2" max="2" width="20.5546875" customWidth="1"/>
    <col min="3" max="3" width="17.88671875" customWidth="1"/>
    <col min="4" max="4" width="20.88671875" customWidth="1"/>
    <col min="8" max="8" width="13" bestFit="1" customWidth="1"/>
    <col min="9" max="9" width="24.77734375" bestFit="1" customWidth="1"/>
    <col min="12" max="12" width="12.77734375" bestFit="1" customWidth="1"/>
    <col min="13" max="13" width="25.109375" bestFit="1" customWidth="1"/>
  </cols>
  <sheetData>
    <row r="3" spans="1:13" x14ac:dyDescent="0.3">
      <c r="A3" t="s">
        <v>1</v>
      </c>
      <c r="C3" t="s">
        <v>36</v>
      </c>
      <c r="H3" t="s">
        <v>37</v>
      </c>
      <c r="L3" t="s">
        <v>38</v>
      </c>
    </row>
    <row r="4" spans="1:13" x14ac:dyDescent="0.3">
      <c r="A4" t="s">
        <v>0</v>
      </c>
      <c r="C4" s="2" t="s">
        <v>4</v>
      </c>
      <c r="D4" t="s">
        <v>0</v>
      </c>
      <c r="H4" s="2" t="s">
        <v>4</v>
      </c>
      <c r="I4" t="s">
        <v>2</v>
      </c>
      <c r="L4" s="2" t="s">
        <v>4</v>
      </c>
      <c r="M4" t="s">
        <v>3</v>
      </c>
    </row>
    <row r="5" spans="1:13" x14ac:dyDescent="0.3">
      <c r="A5" s="1">
        <v>431</v>
      </c>
      <c r="C5" s="5" t="s">
        <v>7</v>
      </c>
      <c r="D5" s="1">
        <v>13</v>
      </c>
      <c r="H5" s="5" t="s">
        <v>7</v>
      </c>
      <c r="I5" s="3">
        <v>35.692307692307693</v>
      </c>
      <c r="L5" s="5" t="s">
        <v>7</v>
      </c>
      <c r="M5" s="3">
        <v>4.166666666666667</v>
      </c>
    </row>
    <row r="6" spans="1:13" x14ac:dyDescent="0.3">
      <c r="C6" s="5" t="s">
        <v>8</v>
      </c>
      <c r="D6" s="1">
        <v>10</v>
      </c>
      <c r="H6" s="5" t="s">
        <v>8</v>
      </c>
      <c r="I6" s="3">
        <v>45.4</v>
      </c>
      <c r="L6" s="5" t="s">
        <v>8</v>
      </c>
      <c r="M6" s="3">
        <v>5.75</v>
      </c>
    </row>
    <row r="7" spans="1:13" x14ac:dyDescent="0.3">
      <c r="C7" s="5" t="s">
        <v>9</v>
      </c>
      <c r="D7" s="1">
        <v>8</v>
      </c>
      <c r="H7" s="5" t="s">
        <v>9</v>
      </c>
      <c r="I7" s="3">
        <v>29.375</v>
      </c>
      <c r="L7" s="5" t="s">
        <v>9</v>
      </c>
      <c r="M7" s="3">
        <v>4.75</v>
      </c>
    </row>
    <row r="8" spans="1:13" x14ac:dyDescent="0.3">
      <c r="A8" t="s">
        <v>2</v>
      </c>
      <c r="C8" s="5" t="s">
        <v>10</v>
      </c>
      <c r="D8" s="1">
        <v>12</v>
      </c>
      <c r="H8" s="5" t="s">
        <v>10</v>
      </c>
      <c r="I8" s="3">
        <v>34.583333333333336</v>
      </c>
      <c r="L8" s="5" t="s">
        <v>10</v>
      </c>
      <c r="M8" s="3">
        <v>7</v>
      </c>
    </row>
    <row r="9" spans="1:13" x14ac:dyDescent="0.3">
      <c r="A9" s="3">
        <v>36.670533642691417</v>
      </c>
      <c r="C9" s="5" t="s">
        <v>11</v>
      </c>
      <c r="D9" s="1">
        <v>19</v>
      </c>
      <c r="H9" s="5" t="s">
        <v>11</v>
      </c>
      <c r="I9" s="3">
        <v>38.684210526315788</v>
      </c>
      <c r="L9" s="5" t="s">
        <v>11</v>
      </c>
      <c r="M9" s="3">
        <v>3.1428571428571428</v>
      </c>
    </row>
    <row r="10" spans="1:13" x14ac:dyDescent="0.3">
      <c r="C10" s="5" t="s">
        <v>12</v>
      </c>
      <c r="D10" s="1">
        <v>9</v>
      </c>
      <c r="H10" s="5" t="s">
        <v>12</v>
      </c>
      <c r="I10" s="3">
        <v>34.777777777777779</v>
      </c>
      <c r="L10" s="5" t="s">
        <v>12</v>
      </c>
      <c r="M10" s="3">
        <v>8</v>
      </c>
    </row>
    <row r="11" spans="1:13" x14ac:dyDescent="0.3">
      <c r="C11" s="5" t="s">
        <v>13</v>
      </c>
      <c r="D11" s="1">
        <v>13</v>
      </c>
      <c r="H11" s="5" t="s">
        <v>13</v>
      </c>
      <c r="I11" s="3">
        <v>37.307692307692307</v>
      </c>
      <c r="L11" s="5" t="s">
        <v>13</v>
      </c>
      <c r="M11" s="3">
        <v>5.25</v>
      </c>
    </row>
    <row r="12" spans="1:13" x14ac:dyDescent="0.3">
      <c r="A12" t="s">
        <v>3</v>
      </c>
      <c r="C12" s="5" t="s">
        <v>14</v>
      </c>
      <c r="D12" s="1">
        <v>19</v>
      </c>
      <c r="H12" s="5" t="s">
        <v>14</v>
      </c>
      <c r="I12" s="3">
        <v>35.631578947368418</v>
      </c>
      <c r="L12" s="5" t="s">
        <v>14</v>
      </c>
      <c r="M12" s="3">
        <v>4.5714285714285712</v>
      </c>
    </row>
    <row r="13" spans="1:13" x14ac:dyDescent="0.3">
      <c r="A13" s="3">
        <v>4.7154471544715451</v>
      </c>
      <c r="C13" s="5" t="s">
        <v>15</v>
      </c>
      <c r="D13" s="1">
        <v>10</v>
      </c>
      <c r="H13" s="5" t="s">
        <v>15</v>
      </c>
      <c r="I13" s="3">
        <v>36.6</v>
      </c>
      <c r="L13" s="5" t="s">
        <v>15</v>
      </c>
      <c r="M13" s="3">
        <v>2.75</v>
      </c>
    </row>
    <row r="14" spans="1:13" x14ac:dyDescent="0.3">
      <c r="C14" s="5" t="s">
        <v>16</v>
      </c>
      <c r="D14" s="1">
        <v>20</v>
      </c>
      <c r="H14" s="5" t="s">
        <v>16</v>
      </c>
      <c r="I14" s="3">
        <v>39.700000000000003</v>
      </c>
      <c r="L14" s="5" t="s">
        <v>16</v>
      </c>
      <c r="M14" s="3">
        <v>4.5</v>
      </c>
    </row>
    <row r="15" spans="1:13" x14ac:dyDescent="0.3">
      <c r="C15" s="5" t="s">
        <v>17</v>
      </c>
      <c r="D15" s="1">
        <v>15</v>
      </c>
      <c r="H15" s="5" t="s">
        <v>17</v>
      </c>
      <c r="I15" s="3">
        <v>37.4</v>
      </c>
      <c r="L15" s="5" t="s">
        <v>17</v>
      </c>
      <c r="M15" s="3">
        <v>5.5</v>
      </c>
    </row>
    <row r="16" spans="1:13" x14ac:dyDescent="0.3">
      <c r="C16" s="5" t="s">
        <v>18</v>
      </c>
      <c r="D16" s="1">
        <v>13</v>
      </c>
      <c r="H16" s="5" t="s">
        <v>18</v>
      </c>
      <c r="I16" s="3">
        <v>27.76923076923077</v>
      </c>
      <c r="L16" s="5" t="s">
        <v>18</v>
      </c>
      <c r="M16" s="3">
        <v>5.6</v>
      </c>
    </row>
    <row r="17" spans="3:13" x14ac:dyDescent="0.3">
      <c r="C17" s="5" t="s">
        <v>19</v>
      </c>
      <c r="D17" s="1">
        <v>9</v>
      </c>
      <c r="H17" s="5" t="s">
        <v>19</v>
      </c>
      <c r="I17" s="3">
        <v>38.777777777777779</v>
      </c>
      <c r="L17" s="5" t="s">
        <v>19</v>
      </c>
      <c r="M17" s="3">
        <v>5.75</v>
      </c>
    </row>
    <row r="18" spans="3:13" x14ac:dyDescent="0.3">
      <c r="C18" s="5" t="s">
        <v>20</v>
      </c>
      <c r="D18" s="1">
        <v>19</v>
      </c>
      <c r="H18" s="5" t="s">
        <v>20</v>
      </c>
      <c r="I18" s="3">
        <v>31</v>
      </c>
      <c r="L18" s="5" t="s">
        <v>20</v>
      </c>
      <c r="M18" s="3">
        <v>3.4444444444444446</v>
      </c>
    </row>
    <row r="19" spans="3:13" x14ac:dyDescent="0.3">
      <c r="C19" s="5" t="s">
        <v>21</v>
      </c>
      <c r="D19" s="1">
        <v>14</v>
      </c>
      <c r="H19" s="5" t="s">
        <v>21</v>
      </c>
      <c r="I19" s="3">
        <v>35.928571428571431</v>
      </c>
      <c r="L19" s="5" t="s">
        <v>21</v>
      </c>
      <c r="M19" s="3">
        <v>1.5</v>
      </c>
    </row>
    <row r="20" spans="3:13" x14ac:dyDescent="0.3">
      <c r="C20" s="5" t="s">
        <v>22</v>
      </c>
      <c r="D20" s="1">
        <v>17</v>
      </c>
      <c r="H20" s="5" t="s">
        <v>22</v>
      </c>
      <c r="I20" s="3">
        <v>37.882352941176471</v>
      </c>
      <c r="L20" s="5" t="s">
        <v>22</v>
      </c>
      <c r="M20" s="3">
        <v>3.6666666666666665</v>
      </c>
    </row>
    <row r="21" spans="3:13" x14ac:dyDescent="0.3">
      <c r="C21" s="5" t="s">
        <v>23</v>
      </c>
      <c r="D21" s="1">
        <v>17</v>
      </c>
      <c r="H21" s="5" t="s">
        <v>23</v>
      </c>
      <c r="I21" s="3">
        <v>40.588235294117645</v>
      </c>
      <c r="L21" s="5" t="s">
        <v>23</v>
      </c>
      <c r="M21" s="3">
        <v>4.4285714285714288</v>
      </c>
    </row>
    <row r="22" spans="3:13" x14ac:dyDescent="0.3">
      <c r="C22" s="5" t="s">
        <v>24</v>
      </c>
      <c r="D22" s="1">
        <v>15</v>
      </c>
      <c r="H22" s="5" t="s">
        <v>24</v>
      </c>
      <c r="I22" s="3">
        <v>34.533333333333331</v>
      </c>
      <c r="L22" s="5" t="s">
        <v>24</v>
      </c>
      <c r="M22" s="3">
        <v>6</v>
      </c>
    </row>
    <row r="23" spans="3:13" x14ac:dyDescent="0.3">
      <c r="C23" s="5" t="s">
        <v>25</v>
      </c>
      <c r="D23" s="1">
        <v>9</v>
      </c>
      <c r="H23" s="5" t="s">
        <v>25</v>
      </c>
      <c r="I23" s="3">
        <v>40.333333333333336</v>
      </c>
      <c r="L23" s="5" t="s">
        <v>25</v>
      </c>
      <c r="M23" s="3">
        <v>2.6666666666666665</v>
      </c>
    </row>
    <row r="24" spans="3:13" x14ac:dyDescent="0.3">
      <c r="C24" s="5" t="s">
        <v>26</v>
      </c>
      <c r="D24" s="1">
        <v>14</v>
      </c>
      <c r="H24" s="5" t="s">
        <v>26</v>
      </c>
      <c r="I24" s="3">
        <v>35.285714285714285</v>
      </c>
      <c r="L24" s="5" t="s">
        <v>26</v>
      </c>
      <c r="M24" s="3">
        <v>7.5</v>
      </c>
    </row>
    <row r="25" spans="3:13" x14ac:dyDescent="0.3">
      <c r="C25" s="5" t="s">
        <v>27</v>
      </c>
      <c r="D25" s="1">
        <v>22</v>
      </c>
      <c r="H25" s="5" t="s">
        <v>27</v>
      </c>
      <c r="I25" s="3">
        <v>35.5</v>
      </c>
      <c r="L25" s="5" t="s">
        <v>27</v>
      </c>
      <c r="M25" s="3">
        <v>4.5</v>
      </c>
    </row>
    <row r="26" spans="3:13" x14ac:dyDescent="0.3">
      <c r="C26" s="5" t="s">
        <v>28</v>
      </c>
      <c r="D26" s="1">
        <v>16</v>
      </c>
      <c r="H26" s="5" t="s">
        <v>28</v>
      </c>
      <c r="I26" s="3">
        <v>38.5625</v>
      </c>
      <c r="L26" s="5" t="s">
        <v>28</v>
      </c>
      <c r="M26" s="3">
        <v>8</v>
      </c>
    </row>
    <row r="27" spans="3:13" x14ac:dyDescent="0.3">
      <c r="C27" s="5" t="s">
        <v>29</v>
      </c>
      <c r="D27" s="1">
        <v>22</v>
      </c>
      <c r="H27" s="5" t="s">
        <v>29</v>
      </c>
      <c r="I27" s="3">
        <v>42.727272727272727</v>
      </c>
      <c r="L27" s="5" t="s">
        <v>29</v>
      </c>
      <c r="M27" s="3">
        <v>4.3636363636363633</v>
      </c>
    </row>
    <row r="28" spans="3:13" x14ac:dyDescent="0.3">
      <c r="C28" s="5" t="s">
        <v>30</v>
      </c>
      <c r="D28" s="1">
        <v>12</v>
      </c>
      <c r="H28" s="5" t="s">
        <v>30</v>
      </c>
      <c r="I28" s="3">
        <v>37.416666666666664</v>
      </c>
      <c r="L28" s="5" t="s">
        <v>30</v>
      </c>
      <c r="M28" s="3">
        <v>0</v>
      </c>
    </row>
    <row r="29" spans="3:13" x14ac:dyDescent="0.3">
      <c r="C29" s="5" t="s">
        <v>31</v>
      </c>
      <c r="D29" s="1">
        <v>20</v>
      </c>
      <c r="H29" s="5" t="s">
        <v>31</v>
      </c>
      <c r="I29" s="3">
        <v>32.450000000000003</v>
      </c>
      <c r="L29" s="5" t="s">
        <v>31</v>
      </c>
      <c r="M29" s="3">
        <v>10</v>
      </c>
    </row>
    <row r="30" spans="3:13" x14ac:dyDescent="0.3">
      <c r="C30" s="5" t="s">
        <v>32</v>
      </c>
      <c r="D30" s="1">
        <v>18</v>
      </c>
      <c r="H30" s="5" t="s">
        <v>32</v>
      </c>
      <c r="I30" s="3">
        <v>40.055555555555557</v>
      </c>
      <c r="L30" s="5" t="s">
        <v>33</v>
      </c>
      <c r="M30" s="3">
        <v>6.75</v>
      </c>
    </row>
    <row r="31" spans="3:13" x14ac:dyDescent="0.3">
      <c r="C31" s="5" t="s">
        <v>33</v>
      </c>
      <c r="D31" s="1">
        <v>18</v>
      </c>
      <c r="H31" s="5" t="s">
        <v>33</v>
      </c>
      <c r="I31" s="3">
        <v>31.666666666666668</v>
      </c>
      <c r="L31" s="5" t="s">
        <v>34</v>
      </c>
      <c r="M31" s="3">
        <v>7</v>
      </c>
    </row>
    <row r="32" spans="3:13" x14ac:dyDescent="0.3">
      <c r="C32" s="5" t="s">
        <v>34</v>
      </c>
      <c r="D32" s="1">
        <v>13</v>
      </c>
      <c r="H32" s="5" t="s">
        <v>34</v>
      </c>
      <c r="I32" s="3">
        <v>39.769230769230766</v>
      </c>
      <c r="L32" s="5" t="s">
        <v>35</v>
      </c>
      <c r="M32" s="3">
        <v>3.3333333333333335</v>
      </c>
    </row>
    <row r="33" spans="1:13" x14ac:dyDescent="0.3">
      <c r="C33" s="5" t="s">
        <v>35</v>
      </c>
      <c r="D33" s="1">
        <v>15</v>
      </c>
      <c r="H33" s="5" t="s">
        <v>35</v>
      </c>
      <c r="I33" s="3">
        <v>36.733333333333334</v>
      </c>
      <c r="L33" s="5" t="s">
        <v>5</v>
      </c>
      <c r="M33" s="1">
        <v>4.7154471544715451</v>
      </c>
    </row>
    <row r="34" spans="1:13" x14ac:dyDescent="0.3">
      <c r="C34" s="5" t="s">
        <v>5</v>
      </c>
      <c r="D34" s="1">
        <v>431</v>
      </c>
      <c r="H34" s="5" t="s">
        <v>5</v>
      </c>
      <c r="I34" s="1">
        <v>36.670533642691417</v>
      </c>
    </row>
    <row r="39" spans="1:13" x14ac:dyDescent="0.3">
      <c r="A39" s="2" t="s">
        <v>4</v>
      </c>
      <c r="B39" t="s">
        <v>39</v>
      </c>
      <c r="C39" t="s">
        <v>43</v>
      </c>
    </row>
    <row r="40" spans="1:13" x14ac:dyDescent="0.3">
      <c r="A40" s="5" t="s">
        <v>40</v>
      </c>
      <c r="B40" s="3">
        <v>224</v>
      </c>
      <c r="C40" s="7">
        <v>0.51972157772621808</v>
      </c>
    </row>
    <row r="41" spans="1:13" x14ac:dyDescent="0.3">
      <c r="A41" s="5" t="s">
        <v>41</v>
      </c>
      <c r="B41" s="3">
        <v>207</v>
      </c>
      <c r="C41" s="7">
        <v>0.48027842227378192</v>
      </c>
    </row>
    <row r="42" spans="1:13" x14ac:dyDescent="0.3">
      <c r="A42" s="5" t="s">
        <v>5</v>
      </c>
      <c r="B42" s="3">
        <v>431</v>
      </c>
      <c r="C42" s="7">
        <v>1</v>
      </c>
    </row>
    <row r="46" spans="1:13" x14ac:dyDescent="0.3">
      <c r="A46" s="13" t="s">
        <v>44</v>
      </c>
      <c r="B46" s="13" t="s">
        <v>45</v>
      </c>
      <c r="C46" s="13" t="s">
        <v>42</v>
      </c>
      <c r="D46" s="12"/>
    </row>
    <row r="47" spans="1:13" x14ac:dyDescent="0.3">
      <c r="A47" s="10" t="str">
        <f>A41</f>
        <v>Not Admitted</v>
      </c>
      <c r="B47" s="10">
        <f>B41</f>
        <v>207</v>
      </c>
      <c r="C47" s="11">
        <f>C41</f>
        <v>0.48027842227378192</v>
      </c>
      <c r="D47" s="9"/>
    </row>
    <row r="48" spans="1:13" x14ac:dyDescent="0.3">
      <c r="A48" s="10" t="str">
        <f>A40</f>
        <v>Admitted</v>
      </c>
      <c r="B48" s="10">
        <f>B40</f>
        <v>224</v>
      </c>
      <c r="C48" s="11">
        <f>C40</f>
        <v>0.51972157772621808</v>
      </c>
      <c r="D48" s="9"/>
    </row>
    <row r="50" spans="1:3" x14ac:dyDescent="0.3">
      <c r="A50" t="s">
        <v>55</v>
      </c>
      <c r="C50" s="8"/>
    </row>
    <row r="51" spans="1:3" x14ac:dyDescent="0.3">
      <c r="A51" s="2" t="s">
        <v>4</v>
      </c>
      <c r="B51" t="s">
        <v>54</v>
      </c>
    </row>
    <row r="52" spans="1:3" x14ac:dyDescent="0.3">
      <c r="A52" s="5" t="s">
        <v>46</v>
      </c>
      <c r="B52" s="6">
        <v>42</v>
      </c>
    </row>
    <row r="53" spans="1:3" x14ac:dyDescent="0.3">
      <c r="A53" s="5" t="s">
        <v>47</v>
      </c>
      <c r="B53" s="6">
        <v>46</v>
      </c>
    </row>
    <row r="54" spans="1:3" x14ac:dyDescent="0.3">
      <c r="A54" s="5" t="s">
        <v>48</v>
      </c>
      <c r="B54" s="6">
        <v>54</v>
      </c>
    </row>
    <row r="55" spans="1:3" x14ac:dyDescent="0.3">
      <c r="A55" s="5" t="s">
        <v>49</v>
      </c>
      <c r="B55" s="6">
        <v>68</v>
      </c>
    </row>
    <row r="56" spans="1:3" x14ac:dyDescent="0.3">
      <c r="A56" s="5" t="s">
        <v>50</v>
      </c>
      <c r="B56" s="6">
        <v>62</v>
      </c>
    </row>
    <row r="57" spans="1:3" x14ac:dyDescent="0.3">
      <c r="A57" s="5" t="s">
        <v>51</v>
      </c>
      <c r="B57" s="6">
        <v>52</v>
      </c>
    </row>
    <row r="58" spans="1:3" x14ac:dyDescent="0.3">
      <c r="A58" s="5" t="s">
        <v>52</v>
      </c>
      <c r="B58" s="6">
        <v>54</v>
      </c>
    </row>
    <row r="59" spans="1:3" x14ac:dyDescent="0.3">
      <c r="A59" s="5" t="s">
        <v>53</v>
      </c>
      <c r="B59" s="6">
        <v>53</v>
      </c>
    </row>
    <row r="60" spans="1:3" x14ac:dyDescent="0.3">
      <c r="A60" s="5" t="s">
        <v>5</v>
      </c>
      <c r="B60" s="3">
        <v>431</v>
      </c>
    </row>
    <row r="62" spans="1:3" x14ac:dyDescent="0.3">
      <c r="A62" s="5" t="s">
        <v>59</v>
      </c>
    </row>
    <row r="63" spans="1:3" x14ac:dyDescent="0.3">
      <c r="A63" s="2" t="s">
        <v>4</v>
      </c>
      <c r="B63" t="s">
        <v>58</v>
      </c>
    </row>
    <row r="64" spans="1:3" x14ac:dyDescent="0.3">
      <c r="A64" s="5" t="s">
        <v>56</v>
      </c>
      <c r="B64" s="6">
        <v>283</v>
      </c>
    </row>
    <row r="65" spans="1:2" x14ac:dyDescent="0.3">
      <c r="A65" s="5" t="s">
        <v>57</v>
      </c>
      <c r="B65" s="6">
        <v>148</v>
      </c>
    </row>
    <row r="66" spans="1:2" x14ac:dyDescent="0.3">
      <c r="A66" s="5" t="s">
        <v>5</v>
      </c>
      <c r="B66" s="3">
        <v>431</v>
      </c>
    </row>
    <row r="68" spans="1:2" x14ac:dyDescent="0.3">
      <c r="A68" s="5" t="s">
        <v>63</v>
      </c>
    </row>
    <row r="69" spans="1:2" x14ac:dyDescent="0.3">
      <c r="A69" s="2" t="s">
        <v>4</v>
      </c>
      <c r="B69" t="s">
        <v>62</v>
      </c>
    </row>
    <row r="70" spans="1:2" x14ac:dyDescent="0.3">
      <c r="A70" s="5" t="s">
        <v>60</v>
      </c>
      <c r="B70" s="3">
        <v>194</v>
      </c>
    </row>
    <row r="71" spans="1:2" x14ac:dyDescent="0.3">
      <c r="A71" s="5" t="s">
        <v>61</v>
      </c>
      <c r="B71" s="3">
        <v>237</v>
      </c>
    </row>
    <row r="72" spans="1:2" x14ac:dyDescent="0.3">
      <c r="A72" s="5" t="s">
        <v>5</v>
      </c>
      <c r="B72" s="3">
        <v>431</v>
      </c>
    </row>
    <row r="75" spans="1:2" x14ac:dyDescent="0.3">
      <c r="A75" s="2" t="s">
        <v>4</v>
      </c>
      <c r="B75" t="s">
        <v>72</v>
      </c>
    </row>
    <row r="76" spans="1:2" x14ac:dyDescent="0.3">
      <c r="A76" s="5" t="s">
        <v>67</v>
      </c>
      <c r="B76" s="6">
        <v>6</v>
      </c>
    </row>
    <row r="77" spans="1:2" x14ac:dyDescent="0.3">
      <c r="A77" s="5" t="s">
        <v>65</v>
      </c>
      <c r="B77" s="6">
        <v>6</v>
      </c>
    </row>
    <row r="78" spans="1:2" x14ac:dyDescent="0.3">
      <c r="A78" s="5" t="s">
        <v>71</v>
      </c>
      <c r="B78" s="6">
        <v>6</v>
      </c>
    </row>
    <row r="79" spans="1:2" x14ac:dyDescent="0.3">
      <c r="A79" s="5" t="s">
        <v>64</v>
      </c>
      <c r="B79" s="6">
        <v>12</v>
      </c>
    </row>
    <row r="80" spans="1:2" x14ac:dyDescent="0.3">
      <c r="A80" s="5" t="s">
        <v>70</v>
      </c>
      <c r="B80" s="6">
        <v>14</v>
      </c>
    </row>
    <row r="81" spans="1:2" x14ac:dyDescent="0.3">
      <c r="A81" s="5" t="s">
        <v>69</v>
      </c>
      <c r="B81" s="6">
        <v>46</v>
      </c>
    </row>
    <row r="82" spans="1:2" x14ac:dyDescent="0.3">
      <c r="A82" s="5" t="s">
        <v>66</v>
      </c>
      <c r="B82" s="6">
        <v>89</v>
      </c>
    </row>
    <row r="83" spans="1:2" x14ac:dyDescent="0.3">
      <c r="A83" s="5" t="s">
        <v>68</v>
      </c>
      <c r="B83" s="6">
        <v>252</v>
      </c>
    </row>
    <row r="84" spans="1:2" x14ac:dyDescent="0.3">
      <c r="A84" s="5" t="s">
        <v>5</v>
      </c>
      <c r="B84" s="3">
        <v>431</v>
      </c>
    </row>
    <row r="87" spans="1:2" x14ac:dyDescent="0.3">
      <c r="A87" s="2" t="s">
        <v>4</v>
      </c>
    </row>
    <row r="88" spans="1:2" x14ac:dyDescent="0.3">
      <c r="A88" s="5" t="s">
        <v>6</v>
      </c>
    </row>
    <row r="89" spans="1:2" x14ac:dyDescent="0.3">
      <c r="A89" s="5"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E13D6-994B-43F0-B505-55140EC9CBCB}">
  <dimension ref="A1:M16"/>
  <sheetViews>
    <sheetView tabSelected="1" zoomScale="170" zoomScaleNormal="170" workbookViewId="0">
      <selection activeCell="L13" sqref="L13"/>
    </sheetView>
  </sheetViews>
  <sheetFormatPr defaultRowHeight="14.4" x14ac:dyDescent="0.3"/>
  <sheetData>
    <row r="1" spans="1:13" x14ac:dyDescent="0.3">
      <c r="A1" s="4"/>
      <c r="B1" s="4"/>
      <c r="C1" s="4"/>
      <c r="D1" s="4"/>
      <c r="E1" s="4"/>
      <c r="F1" s="4"/>
      <c r="G1" s="4"/>
      <c r="H1" s="4"/>
      <c r="I1" s="4"/>
      <c r="J1" s="4"/>
      <c r="K1" s="4"/>
      <c r="L1" s="4"/>
      <c r="M1" s="4"/>
    </row>
    <row r="2" spans="1:13" x14ac:dyDescent="0.3">
      <c r="A2" s="4"/>
      <c r="B2" s="4"/>
      <c r="C2" s="4"/>
      <c r="D2" s="4"/>
      <c r="E2" s="4"/>
      <c r="F2" s="4"/>
      <c r="G2" s="4"/>
      <c r="H2" s="4"/>
      <c r="I2" s="4"/>
      <c r="J2" s="4"/>
      <c r="K2" s="4"/>
      <c r="L2" s="4"/>
      <c r="M2" s="4"/>
    </row>
    <row r="3" spans="1:13" x14ac:dyDescent="0.3">
      <c r="A3" s="4"/>
      <c r="B3" s="4"/>
      <c r="C3" s="4"/>
      <c r="D3" s="4"/>
      <c r="E3" s="4"/>
      <c r="F3" s="4"/>
      <c r="G3" s="4"/>
      <c r="H3" s="4"/>
      <c r="I3" s="4"/>
      <c r="J3" s="4"/>
      <c r="K3" s="4"/>
      <c r="L3" s="4"/>
      <c r="M3" s="4"/>
    </row>
    <row r="4" spans="1:13" x14ac:dyDescent="0.3">
      <c r="A4" s="4"/>
      <c r="B4" s="4"/>
      <c r="C4" s="4"/>
      <c r="D4" s="4"/>
      <c r="E4" s="4"/>
      <c r="F4" s="4"/>
      <c r="G4" s="4"/>
      <c r="H4" s="4"/>
      <c r="I4" s="4"/>
      <c r="J4" s="4"/>
      <c r="K4" s="4"/>
      <c r="L4" s="4"/>
      <c r="M4" s="4"/>
    </row>
    <row r="5" spans="1:13" x14ac:dyDescent="0.3">
      <c r="A5" s="4"/>
      <c r="B5" s="4"/>
      <c r="C5" s="4"/>
      <c r="D5" s="4"/>
      <c r="E5" s="4"/>
      <c r="F5" s="4"/>
      <c r="G5" s="4"/>
      <c r="H5" s="4"/>
      <c r="I5" s="4"/>
      <c r="J5" s="4"/>
      <c r="K5" s="4"/>
      <c r="L5" s="4"/>
      <c r="M5" s="4"/>
    </row>
    <row r="6" spans="1:13" x14ac:dyDescent="0.3">
      <c r="A6" s="4"/>
      <c r="B6" s="4"/>
      <c r="C6" s="4"/>
      <c r="D6" s="4"/>
      <c r="E6" s="4"/>
      <c r="F6" s="4"/>
      <c r="G6" s="4"/>
      <c r="H6" s="4"/>
      <c r="I6" s="4"/>
      <c r="J6" s="4"/>
      <c r="K6" s="4"/>
      <c r="L6" s="4"/>
      <c r="M6" s="4"/>
    </row>
    <row r="7" spans="1:13" x14ac:dyDescent="0.3">
      <c r="A7" s="4"/>
      <c r="B7" s="4"/>
      <c r="C7" s="4"/>
      <c r="D7" s="4"/>
      <c r="E7" s="4"/>
      <c r="F7" s="4"/>
      <c r="G7" s="4"/>
      <c r="H7" s="4"/>
      <c r="I7" s="4"/>
      <c r="J7" s="4"/>
      <c r="K7" s="4"/>
      <c r="L7" s="4"/>
      <c r="M7" s="4"/>
    </row>
    <row r="8" spans="1:13" x14ac:dyDescent="0.3">
      <c r="A8" s="4"/>
      <c r="B8" s="4"/>
      <c r="C8" s="4"/>
      <c r="D8" s="4"/>
      <c r="E8" s="4"/>
      <c r="F8" s="4"/>
      <c r="G8" s="4"/>
      <c r="H8" s="4"/>
      <c r="I8" s="4"/>
      <c r="J8" s="4"/>
      <c r="K8" s="4"/>
      <c r="L8" s="4"/>
      <c r="M8" s="4"/>
    </row>
    <row r="9" spans="1:13" x14ac:dyDescent="0.3">
      <c r="A9" s="4"/>
      <c r="B9" s="4"/>
      <c r="C9" s="4"/>
      <c r="D9" s="4"/>
      <c r="E9" s="4"/>
      <c r="F9" s="4"/>
      <c r="G9" s="4"/>
      <c r="H9" s="4"/>
      <c r="I9" s="4"/>
      <c r="J9" s="4"/>
      <c r="K9" s="4"/>
      <c r="L9" s="4"/>
      <c r="M9" s="4"/>
    </row>
    <row r="10" spans="1:13" x14ac:dyDescent="0.3">
      <c r="A10" s="4"/>
      <c r="B10" s="4"/>
      <c r="C10" s="4"/>
      <c r="D10" s="4"/>
      <c r="E10" s="4"/>
      <c r="F10" s="4"/>
      <c r="G10" s="4"/>
      <c r="H10" s="4"/>
      <c r="I10" s="4"/>
      <c r="J10" s="4"/>
      <c r="K10" s="4"/>
      <c r="L10" s="4"/>
      <c r="M10" s="4"/>
    </row>
    <row r="11" spans="1:13" x14ac:dyDescent="0.3">
      <c r="A11" s="4"/>
      <c r="B11" s="4"/>
      <c r="C11" s="4"/>
      <c r="D11" s="4"/>
      <c r="E11" s="4"/>
      <c r="F11" s="4"/>
      <c r="G11" s="4"/>
      <c r="H11" s="4"/>
      <c r="I11" s="4"/>
      <c r="J11" s="4"/>
      <c r="K11" s="4"/>
      <c r="L11" s="4"/>
      <c r="M11" s="4"/>
    </row>
    <row r="12" spans="1:13" x14ac:dyDescent="0.3">
      <c r="A12" s="4"/>
      <c r="B12" s="4"/>
      <c r="C12" s="4"/>
      <c r="D12" s="4"/>
      <c r="E12" s="4"/>
      <c r="F12" s="4"/>
      <c r="G12" s="4"/>
      <c r="H12" s="4"/>
      <c r="I12" s="4"/>
      <c r="J12" s="4"/>
      <c r="K12" s="4"/>
      <c r="L12" s="4"/>
      <c r="M12" s="4"/>
    </row>
    <row r="13" spans="1:13" x14ac:dyDescent="0.3">
      <c r="A13" s="4"/>
      <c r="B13" s="4"/>
      <c r="C13" s="4"/>
      <c r="D13" s="4"/>
      <c r="E13" s="4"/>
      <c r="F13" s="4"/>
      <c r="G13" s="4"/>
      <c r="H13" s="4"/>
      <c r="I13" s="4"/>
      <c r="J13" s="4"/>
      <c r="K13" s="4"/>
      <c r="L13" s="4"/>
      <c r="M13" s="4"/>
    </row>
    <row r="14" spans="1:13" x14ac:dyDescent="0.3">
      <c r="A14" s="4"/>
      <c r="B14" s="4"/>
      <c r="C14" s="4"/>
      <c r="D14" s="4"/>
      <c r="E14" s="4"/>
      <c r="F14" s="4"/>
      <c r="G14" s="4"/>
      <c r="H14" s="4"/>
      <c r="I14" s="4"/>
      <c r="J14" s="4"/>
      <c r="K14" s="4"/>
      <c r="L14" s="4"/>
      <c r="M14" s="4"/>
    </row>
    <row r="15" spans="1:13" x14ac:dyDescent="0.3">
      <c r="A15" s="4"/>
      <c r="B15" s="4"/>
      <c r="C15" s="4"/>
      <c r="D15" s="4"/>
      <c r="E15" s="4"/>
      <c r="F15" s="4"/>
      <c r="G15" s="4"/>
      <c r="H15" s="4"/>
      <c r="I15" s="4"/>
      <c r="J15" s="4"/>
      <c r="K15" s="4"/>
      <c r="L15" s="4"/>
      <c r="M15" s="4"/>
    </row>
    <row r="16" spans="1:13" x14ac:dyDescent="0.3">
      <c r="A16" s="4"/>
      <c r="B16" s="4"/>
      <c r="C16" s="4"/>
      <c r="D16" s="4"/>
      <c r="E16" s="4"/>
      <c r="F16" s="4"/>
      <c r="G16" s="4"/>
      <c r="H16" s="4"/>
      <c r="I16" s="4"/>
      <c r="J16" s="4"/>
      <c r="K16" s="4"/>
      <c r="L16" s="4"/>
      <c r="M16"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5BC6547-00D4-4A94-B7B6-603374879A9B}">
  <ds:schemaRefs/>
</ds:datastoreItem>
</file>

<file path=customXml/itemProps2.xml><?xml version="1.0" encoding="utf-8"?>
<ds:datastoreItem xmlns:ds="http://schemas.openxmlformats.org/officeDocument/2006/customXml" ds:itemID="{54C80E6A-EBBD-4E9D-9749-2FBF0B633D67}">
  <ds:schemaRefs/>
</ds:datastoreItem>
</file>

<file path=customXml/itemProps3.xml><?xml version="1.0" encoding="utf-8"?>
<ds:datastoreItem xmlns:ds="http://schemas.openxmlformats.org/officeDocument/2006/customXml" ds:itemID="{A41A86F9-3C27-4DC1-B2CB-99A4E956DEA6}">
  <ds:schemaRefs/>
</ds:datastoreItem>
</file>

<file path=customXml/itemProps4.xml><?xml version="1.0" encoding="utf-8"?>
<ds:datastoreItem xmlns:ds="http://schemas.openxmlformats.org/officeDocument/2006/customXml" ds:itemID="{1EC0C4E1-FF19-435A-B709-3A50321DF19D}">
  <ds:schemaRefs/>
</ds:datastoreItem>
</file>

<file path=customXml/itemProps5.xml><?xml version="1.0" encoding="utf-8"?>
<ds:datastoreItem xmlns:ds="http://schemas.openxmlformats.org/officeDocument/2006/customXml" ds:itemID="{6D907DB5-9A1F-4480-9D02-360E522B241C}">
  <ds:schemaRefs/>
</ds:datastoreItem>
</file>

<file path=customXml/itemProps6.xml><?xml version="1.0" encoding="utf-8"?>
<ds:datastoreItem xmlns:ds="http://schemas.openxmlformats.org/officeDocument/2006/customXml" ds:itemID="{EC0B0C17-78BF-47F1-A382-D1B7B987D8D1}">
  <ds:schemaRefs/>
</ds:datastoreItem>
</file>

<file path=customXml/itemProps7.xml><?xml version="1.0" encoding="utf-8"?>
<ds:datastoreItem xmlns:ds="http://schemas.openxmlformats.org/officeDocument/2006/customXml" ds:itemID="{0EE13FE4-0E85-446C-957A-8187E6198364}">
  <ds:schemaRefs/>
</ds:datastoreItem>
</file>

<file path=customXml/itemProps8.xml><?xml version="1.0" encoding="utf-8"?>
<ds:datastoreItem xmlns:ds="http://schemas.openxmlformats.org/officeDocument/2006/customXml" ds:itemID="{270A7DA4-8B3E-41E5-98D6-A23EBDF1DEF0}">
  <ds:schemaRefs/>
</ds:datastoreItem>
</file>

<file path=customXml/itemProps9.xml><?xml version="1.0" encoding="utf-8"?>
<ds:datastoreItem xmlns:ds="http://schemas.openxmlformats.org/officeDocument/2006/customXml" ds:itemID="{3318B035-D25E-46BD-ACD4-1F15E960BC3D}">
  <ds:schemaRefs/>
</ds:datastoreItem>
</file>

<file path=customXml/itemProps10.xml><?xml version="1.0" encoding="utf-8"?>
<ds:datastoreItem xmlns:ds="http://schemas.openxmlformats.org/officeDocument/2006/customXml" ds:itemID="{B7EAF9CC-A5B1-4BF0-898B-9DEDF5ECE721}">
  <ds:schemaRefs/>
</ds:datastoreItem>
</file>

<file path=customXml/itemProps11.xml><?xml version="1.0" encoding="utf-8"?>
<ds:datastoreItem xmlns:ds="http://schemas.openxmlformats.org/officeDocument/2006/customXml" ds:itemID="{2021001E-33C0-4C64-B8B3-A0593A8745C2}">
  <ds:schemaRefs/>
</ds:datastoreItem>
</file>

<file path=customXml/itemProps12.xml><?xml version="1.0" encoding="utf-8"?>
<ds:datastoreItem xmlns:ds="http://schemas.openxmlformats.org/officeDocument/2006/customXml" ds:itemID="{9C3B37B9-9DC1-43CB-A11B-226DF8D10711}">
  <ds:schemaRefs/>
</ds:datastoreItem>
</file>

<file path=customXml/itemProps13.xml><?xml version="1.0" encoding="utf-8"?>
<ds:datastoreItem xmlns:ds="http://schemas.openxmlformats.org/officeDocument/2006/customXml" ds:itemID="{1509B86C-B91D-4E89-AF03-9BA69643B6C5}">
  <ds:schemaRefs>
    <ds:schemaRef ds:uri="http://schemas.microsoft.com/DataMashup"/>
  </ds:schemaRefs>
</ds:datastoreItem>
</file>

<file path=customXml/itemProps14.xml><?xml version="1.0" encoding="utf-8"?>
<ds:datastoreItem xmlns:ds="http://schemas.openxmlformats.org/officeDocument/2006/customXml" ds:itemID="{0E4356E0-F6D6-4F51-8BB9-3109EC47D382}">
  <ds:schemaRefs/>
</ds:datastoreItem>
</file>

<file path=customXml/itemProps15.xml><?xml version="1.0" encoding="utf-8"?>
<ds:datastoreItem xmlns:ds="http://schemas.openxmlformats.org/officeDocument/2006/customXml" ds:itemID="{27C1F98A-142D-4F85-96F5-C539E062446A}">
  <ds:schemaRefs/>
</ds:datastoreItem>
</file>

<file path=customXml/itemProps16.xml><?xml version="1.0" encoding="utf-8"?>
<ds:datastoreItem xmlns:ds="http://schemas.openxmlformats.org/officeDocument/2006/customXml" ds:itemID="{9243E570-F597-4464-8FA3-41E17D4EC6C2}">
  <ds:schemaRefs/>
</ds:datastoreItem>
</file>

<file path=customXml/itemProps17.xml><?xml version="1.0" encoding="utf-8"?>
<ds:datastoreItem xmlns:ds="http://schemas.openxmlformats.org/officeDocument/2006/customXml" ds:itemID="{AD90D5A1-3499-4C58-AAD3-6667E9D9B750}">
  <ds:schemaRefs/>
</ds:datastoreItem>
</file>

<file path=customXml/itemProps18.xml><?xml version="1.0" encoding="utf-8"?>
<ds:datastoreItem xmlns:ds="http://schemas.openxmlformats.org/officeDocument/2006/customXml" ds:itemID="{626C5EBD-4BAE-4E76-BC64-02FBBE06B33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Avnish Choudhary</dc:creator>
  <cp:lastModifiedBy>Avnish Choudhary</cp:lastModifiedBy>
  <dcterms:created xsi:type="dcterms:W3CDTF">2026-04-06T07:38:00Z</dcterms:created>
  <dcterms:modified xsi:type="dcterms:W3CDTF">2026-04-06T15:26:55Z</dcterms:modified>
</cp:coreProperties>
</file>